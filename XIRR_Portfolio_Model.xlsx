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ul\Downloads\Documents\"/>
    </mc:Choice>
  </mc:AlternateContent>
  <xr:revisionPtr revIDLastSave="0" documentId="13_ncr:1_{4162C8B3-F390-4DFB-8D5C-B58ED7D0E6E1}" xr6:coauthVersionLast="47" xr6:coauthVersionMax="47" xr10:uidLastSave="{00000000-0000-0000-0000-000000000000}"/>
  <bookViews>
    <workbookView xWindow="-98" yWindow="-98" windowWidth="21795" windowHeight="13695" activeTab="1" xr2:uid="{B666A40B-E9C8-40D6-8E26-D865279CF108}"/>
  </bookViews>
  <sheets>
    <sheet name="Result&gt;" sheetId="7" r:id="rId1"/>
    <sheet name="Final_data" sheetId="5" r:id="rId2"/>
    <sheet name="Documentation&gt;" sheetId="8" r:id="rId3"/>
    <sheet name="Section 1" sheetId="9" r:id="rId4"/>
    <sheet name="DATA&gt;" sheetId="6" r:id="rId5"/>
    <sheet name="Merged_Data" sheetId="2" r:id="rId6"/>
    <sheet name="Pivot_temp" sheetId="1" r:id="rId7"/>
    <sheet name="Temp_Data" sheetId="3" r:id="rId8"/>
    <sheet name="Open_positions" sheetId="4" r:id="rId9"/>
  </sheets>
  <definedNames>
    <definedName name="ExternalData_1" localSheetId="5" hidden="1">Merged_Data!$A$1:$E$832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94" i="5"/>
  <c r="E9" i="5"/>
  <c r="J6" i="5"/>
  <c r="C90" i="5"/>
  <c r="E90" i="5" s="1"/>
  <c r="C91" i="5"/>
  <c r="E91" i="5" s="1"/>
  <c r="C92" i="5"/>
  <c r="E92" i="5" s="1"/>
  <c r="C93" i="5"/>
  <c r="E93" i="5" s="1"/>
  <c r="C94" i="5"/>
  <c r="D94" i="5" s="1"/>
  <c r="C95" i="5"/>
  <c r="D95" i="5" s="1"/>
  <c r="C96" i="5"/>
  <c r="D96" i="5" s="1"/>
  <c r="C97" i="5"/>
  <c r="D97" i="5" s="1"/>
  <c r="C98" i="5"/>
  <c r="D98" i="5" s="1"/>
  <c r="C99" i="5"/>
  <c r="D99" i="5" s="1"/>
  <c r="C100" i="5"/>
  <c r="E100" i="5" s="1"/>
  <c r="C101" i="5"/>
  <c r="E101" i="5" s="1"/>
  <c r="C102" i="5"/>
  <c r="E102" i="5" s="1"/>
  <c r="C103" i="5"/>
  <c r="E103" i="5" s="1"/>
  <c r="C104" i="5"/>
  <c r="E104" i="5" s="1"/>
  <c r="C105" i="5"/>
  <c r="E105" i="5" s="1"/>
  <c r="C106" i="5"/>
  <c r="E106" i="5" s="1"/>
  <c r="C107" i="5"/>
  <c r="E107" i="5" s="1"/>
  <c r="C108" i="5"/>
  <c r="E108" i="5" s="1"/>
  <c r="C109" i="5"/>
  <c r="E109" i="5" s="1"/>
  <c r="C110" i="5"/>
  <c r="D110" i="5" s="1"/>
  <c r="C111" i="5"/>
  <c r="D111" i="5" s="1"/>
  <c r="C112" i="5"/>
  <c r="D112" i="5" s="1"/>
  <c r="C113" i="5"/>
  <c r="D113" i="5" s="1"/>
  <c r="C114" i="5"/>
  <c r="D114" i="5" s="1"/>
  <c r="C115" i="5"/>
  <c r="D115" i="5" s="1"/>
  <c r="C116" i="5"/>
  <c r="E116" i="5" s="1"/>
  <c r="C117" i="5"/>
  <c r="E117" i="5" s="1"/>
  <c r="C118" i="5"/>
  <c r="E118" i="5" s="1"/>
  <c r="C119" i="5"/>
  <c r="E119" i="5" s="1"/>
  <c r="C120" i="5"/>
  <c r="E120" i="5" s="1"/>
  <c r="C121" i="5"/>
  <c r="E121" i="5" s="1"/>
  <c r="C122" i="5"/>
  <c r="E122" i="5" s="1"/>
  <c r="C123" i="5"/>
  <c r="E123" i="5" s="1"/>
  <c r="C124" i="5"/>
  <c r="E124" i="5" s="1"/>
  <c r="C125" i="5"/>
  <c r="E125" i="5" s="1"/>
  <c r="C126" i="5"/>
  <c r="D126" i="5" s="1"/>
  <c r="C127" i="5"/>
  <c r="E127" i="5" s="1"/>
  <c r="C128" i="5"/>
  <c r="E128" i="5" s="1"/>
  <c r="C129" i="5"/>
  <c r="E129" i="5" s="1"/>
  <c r="C130" i="5"/>
  <c r="E130" i="5" s="1"/>
  <c r="C131" i="5"/>
  <c r="E131" i="5" s="1"/>
  <c r="C132" i="5"/>
  <c r="E132" i="5" s="1"/>
  <c r="C133" i="5"/>
  <c r="E133" i="5" s="1"/>
  <c r="C134" i="5"/>
  <c r="E134" i="5" s="1"/>
  <c r="C135" i="5"/>
  <c r="E135" i="5" s="1"/>
  <c r="C136" i="5"/>
  <c r="E136" i="5" s="1"/>
  <c r="C137" i="5"/>
  <c r="E137" i="5" s="1"/>
  <c r="C138" i="5"/>
  <c r="E138" i="5" s="1"/>
  <c r="C139" i="5"/>
  <c r="E139" i="5" s="1"/>
  <c r="C140" i="5"/>
  <c r="E140" i="5" s="1"/>
  <c r="C141" i="5"/>
  <c r="E141" i="5" s="1"/>
  <c r="C142" i="5"/>
  <c r="D142" i="5" s="1"/>
  <c r="C143" i="5"/>
  <c r="D143" i="5" s="1"/>
  <c r="C144" i="5"/>
  <c r="D144" i="5" s="1"/>
  <c r="C145" i="5"/>
  <c r="D145" i="5" s="1"/>
  <c r="C146" i="5"/>
  <c r="D146" i="5" s="1"/>
  <c r="C147" i="5"/>
  <c r="D147" i="5" s="1"/>
  <c r="C148" i="5"/>
  <c r="E148" i="5" s="1"/>
  <c r="C149" i="5"/>
  <c r="E149" i="5" s="1"/>
  <c r="C150" i="5"/>
  <c r="E150" i="5" s="1"/>
  <c r="C151" i="5"/>
  <c r="E151" i="5" s="1"/>
  <c r="C152" i="5"/>
  <c r="E152" i="5" s="1"/>
  <c r="C153" i="5"/>
  <c r="E153" i="5" s="1"/>
  <c r="C154" i="5"/>
  <c r="E154" i="5" s="1"/>
  <c r="C155" i="5"/>
  <c r="E155" i="5" s="1"/>
  <c r="C156" i="5"/>
  <c r="E156" i="5" s="1"/>
  <c r="C89" i="5"/>
  <c r="E89" i="5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E145" i="5" l="1"/>
  <c r="E144" i="5"/>
  <c r="E143" i="5"/>
  <c r="E142" i="5"/>
  <c r="E126" i="5"/>
  <c r="E115" i="5"/>
  <c r="E114" i="5"/>
  <c r="E112" i="5"/>
  <c r="E111" i="5"/>
  <c r="E99" i="5"/>
  <c r="E98" i="5"/>
  <c r="E97" i="5"/>
  <c r="E113" i="5"/>
  <c r="E147" i="5"/>
  <c r="E96" i="5"/>
  <c r="E110" i="5"/>
  <c r="E146" i="5"/>
  <c r="E95" i="5"/>
  <c r="D153" i="5"/>
  <c r="D137" i="5"/>
  <c r="D121" i="5"/>
  <c r="D105" i="5"/>
  <c r="D89" i="5"/>
  <c r="D152" i="5"/>
  <c r="D136" i="5"/>
  <c r="D120" i="5"/>
  <c r="D104" i="5"/>
  <c r="D151" i="5"/>
  <c r="D135" i="5"/>
  <c r="D119" i="5"/>
  <c r="D103" i="5"/>
  <c r="D150" i="5"/>
  <c r="D134" i="5"/>
  <c r="D118" i="5"/>
  <c r="D102" i="5"/>
  <c r="D149" i="5"/>
  <c r="D133" i="5"/>
  <c r="D117" i="5"/>
  <c r="D101" i="5"/>
  <c r="D148" i="5"/>
  <c r="D132" i="5"/>
  <c r="D116" i="5"/>
  <c r="D100" i="5"/>
  <c r="D131" i="5"/>
  <c r="D130" i="5"/>
  <c r="D129" i="5"/>
  <c r="D128" i="5"/>
  <c r="D127" i="5"/>
  <c r="D141" i="5"/>
  <c r="D125" i="5"/>
  <c r="D109" i="5"/>
  <c r="D93" i="5"/>
  <c r="D156" i="5"/>
  <c r="D140" i="5"/>
  <c r="D124" i="5"/>
  <c r="D108" i="5"/>
  <c r="D92" i="5"/>
  <c r="D155" i="5"/>
  <c r="D139" i="5"/>
  <c r="D123" i="5"/>
  <c r="D107" i="5"/>
  <c r="D91" i="5"/>
  <c r="D154" i="5"/>
  <c r="D138" i="5"/>
  <c r="D122" i="5"/>
  <c r="D106" i="5"/>
  <c r="D90" i="5"/>
  <c r="C157" i="5"/>
  <c r="E157" i="5" l="1"/>
  <c r="J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F78670-9B79-4BA1-ACFC-E21BF814FAB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C68FE3A5-0AB2-4BE9-9FCE-B83BD78BBAE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C01AEAB-ECAA-4F67-964A-D2077036D6FB}" keepAlive="1" name="Query - Tradebook 2023-2026" description="Connection to the 'Tradebook 2023-2026' query in the workbook." type="5" refreshedVersion="8" background="1" saveData="1">
    <dbPr connection="Provider=Microsoft.Mashup.OleDb.1;Data Source=$Workbook$;Location=&quot;Tradebook 2023-2026&quot;;Extended Properties=&quot;&quot;" command="SELECT * FROM [Tradebook 2023-2026]"/>
  </connection>
  <connection id="4" xr16:uid="{E2BB73EF-D015-4AF0-976E-0775340ABC5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886EF20A-24F5-4574-AC4A-902919A3006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<sst xmlns="http://schemas.openxmlformats.org/spreadsheetml/2006/main" count="1892" uniqueCount="151">
  <si>
    <t>Symbol</t>
  </si>
  <si>
    <t>Trade Date</t>
  </si>
  <si>
    <t>Trade Type</t>
  </si>
  <si>
    <t>Quantity</t>
  </si>
  <si>
    <t>Price</t>
  </si>
  <si>
    <t>BOHRAIND</t>
  </si>
  <si>
    <t>sell</t>
  </si>
  <si>
    <t>PAYTM</t>
  </si>
  <si>
    <t>buy</t>
  </si>
  <si>
    <t>GOKEX</t>
  </si>
  <si>
    <t>HERITGFOOD</t>
  </si>
  <si>
    <t>WABAG</t>
  </si>
  <si>
    <t>GODREJPROP</t>
  </si>
  <si>
    <t>NAUKRI</t>
  </si>
  <si>
    <t>GHCL</t>
  </si>
  <si>
    <t>HAL</t>
  </si>
  <si>
    <t>NATIONALUM</t>
  </si>
  <si>
    <t>PFC</t>
  </si>
  <si>
    <t>RECLTD</t>
  </si>
  <si>
    <t>APOLLOHOSP</t>
  </si>
  <si>
    <t>CCAVENUE</t>
  </si>
  <si>
    <t>HINDWAREAP</t>
  </si>
  <si>
    <t>INFY</t>
  </si>
  <si>
    <t>MFSL</t>
  </si>
  <si>
    <t>ECLERX</t>
  </si>
  <si>
    <t>PFOCUS</t>
  </si>
  <si>
    <t>SHAKTIPUMP</t>
  </si>
  <si>
    <t>CAMS</t>
  </si>
  <si>
    <t>ABB</t>
  </si>
  <si>
    <t>SBISILVER</t>
  </si>
  <si>
    <t>NCC</t>
  </si>
  <si>
    <t>ITC</t>
  </si>
  <si>
    <t>RAILTEL</t>
  </si>
  <si>
    <t>RTNPOWER</t>
  </si>
  <si>
    <t>CONCOR</t>
  </si>
  <si>
    <t>PARAS</t>
  </si>
  <si>
    <t>PFS</t>
  </si>
  <si>
    <t>KAIZENAGRO</t>
  </si>
  <si>
    <t>GSPL</t>
  </si>
  <si>
    <t>ASTERDM</t>
  </si>
  <si>
    <t>MAZDOCK</t>
  </si>
  <si>
    <t>LT</t>
  </si>
  <si>
    <t>JKIL</t>
  </si>
  <si>
    <t>GUJGASLTD</t>
  </si>
  <si>
    <t>DEEPAKFERT</t>
  </si>
  <si>
    <t>SOBHA</t>
  </si>
  <si>
    <t>YESBANK</t>
  </si>
  <si>
    <t>ETERNAL</t>
  </si>
  <si>
    <t>ROUTE</t>
  </si>
  <si>
    <t>GODREJIND</t>
  </si>
  <si>
    <t>PARADEEP</t>
  </si>
  <si>
    <t>MANYAVAR</t>
  </si>
  <si>
    <t>BRITANNIA</t>
  </si>
  <si>
    <t>INNOVISION</t>
  </si>
  <si>
    <t>TCI</t>
  </si>
  <si>
    <t>HAVELLS</t>
  </si>
  <si>
    <t>COALINDIA</t>
  </si>
  <si>
    <t>JNKINDIA</t>
  </si>
  <si>
    <t>BDL</t>
  </si>
  <si>
    <t>CHOLAHLDNG</t>
  </si>
  <si>
    <t>VGUARD</t>
  </si>
  <si>
    <t>KOLTEPATIL</t>
  </si>
  <si>
    <t>UTKARSHBNK</t>
  </si>
  <si>
    <t>TMPV</t>
  </si>
  <si>
    <t>BNRSEC</t>
  </si>
  <si>
    <t>INFOBEAN</t>
  </si>
  <si>
    <t>PNBHOUSING</t>
  </si>
  <si>
    <t>EMAMIPAP</t>
  </si>
  <si>
    <t>JAIBALAJI</t>
  </si>
  <si>
    <t>SRPL</t>
  </si>
  <si>
    <t>MOS</t>
  </si>
  <si>
    <t>ARVSMART</t>
  </si>
  <si>
    <t>PNB-RE</t>
  </si>
  <si>
    <t>ORICON</t>
  </si>
  <si>
    <t>RETINA</t>
  </si>
  <si>
    <t>FLFL</t>
  </si>
  <si>
    <t>NMDC</t>
  </si>
  <si>
    <t>NAVA</t>
  </si>
  <si>
    <t>MSPL</t>
  </si>
  <si>
    <t>KSOLVES</t>
  </si>
  <si>
    <t>RGL</t>
  </si>
  <si>
    <t>JINDALSTEL</t>
  </si>
  <si>
    <t>SOUTHBANK</t>
  </si>
  <si>
    <t>TATASTEEL</t>
  </si>
  <si>
    <t>RBLBANK</t>
  </si>
  <si>
    <t>SCI</t>
  </si>
  <si>
    <t>AUROIMPEX</t>
  </si>
  <si>
    <t>OMAXE</t>
  </si>
  <si>
    <t>GLS</t>
  </si>
  <si>
    <t>NSLNISP</t>
  </si>
  <si>
    <t>GICRE</t>
  </si>
  <si>
    <t>AGSTRA</t>
  </si>
  <si>
    <t>KALPATPOWR</t>
  </si>
  <si>
    <t>PENINLAND</t>
  </si>
  <si>
    <t>RELHOME</t>
  </si>
  <si>
    <t>PRICOLLTD</t>
  </si>
  <si>
    <t>BEDMUTHA</t>
  </si>
  <si>
    <t>ABCGAS</t>
  </si>
  <si>
    <t>ANUBHAV</t>
  </si>
  <si>
    <t>CESC</t>
  </si>
  <si>
    <t>RAJKOTINV</t>
  </si>
  <si>
    <t>AXISBANK</t>
  </si>
  <si>
    <t>NARMP</t>
  </si>
  <si>
    <t>NOL</t>
  </si>
  <si>
    <t>SAIL</t>
  </si>
  <si>
    <t>NEWGEN</t>
  </si>
  <si>
    <t>EQUITASBNK</t>
  </si>
  <si>
    <t>AMBIKCO</t>
  </si>
  <si>
    <t>RANASUG</t>
  </si>
  <si>
    <t>RAJKOTINV-X</t>
  </si>
  <si>
    <t>BAJFINANCE</t>
  </si>
  <si>
    <t>ABFRL</t>
  </si>
  <si>
    <t>SBILIFE</t>
  </si>
  <si>
    <t>UJJIVANSFB</t>
  </si>
  <si>
    <t>MANINDS</t>
  </si>
  <si>
    <t>PTC</t>
  </si>
  <si>
    <t>HINDALCO</t>
  </si>
  <si>
    <t>DEEPAKNTR</t>
  </si>
  <si>
    <t>SALZERELEC</t>
  </si>
  <si>
    <t>LKMEHTA-MT</t>
  </si>
  <si>
    <t>Row Labels</t>
  </si>
  <si>
    <t>Symbols</t>
  </si>
  <si>
    <t>Buy QTY</t>
  </si>
  <si>
    <t>Sell QTY</t>
  </si>
  <si>
    <t>Qty</t>
  </si>
  <si>
    <t>Cost</t>
  </si>
  <si>
    <t>Cashflow</t>
  </si>
  <si>
    <t>Sum of Cashflow</t>
  </si>
  <si>
    <t>Buy Price</t>
  </si>
  <si>
    <t>Sell Price</t>
  </si>
  <si>
    <t>diffrence</t>
  </si>
  <si>
    <t>Market price as on 14-04-2026</t>
  </si>
  <si>
    <t>NPV</t>
  </si>
  <si>
    <t>Date</t>
  </si>
  <si>
    <t>Rate of NPV calculation</t>
  </si>
  <si>
    <t>Total NPV</t>
  </si>
  <si>
    <t>XIRR</t>
  </si>
  <si>
    <t>TOTAL</t>
  </si>
  <si>
    <t>DATA</t>
  </si>
  <si>
    <t>XIRR Financial Modeling Documentation</t>
  </si>
  <si>
    <t>Zerodha Tradebook — Goal Seek Validation Report</t>
  </si>
  <si>
    <r>
      <t>Open Position Treatment:</t>
    </r>
    <r>
      <rPr>
        <sz val="12"/>
        <color rgb="FF27251E"/>
        <rFont val="Georgia"/>
        <family val="1"/>
      </rPr>
      <t> The </t>
    </r>
    <r>
      <rPr>
        <sz val="12"/>
        <color rgb="FF27251E"/>
        <rFont val="Courier New"/>
        <family val="3"/>
      </rPr>
      <t>Open_positions</t>
    </r>
    <r>
      <rPr>
        <sz val="12"/>
        <color rgb="FF27251E"/>
        <rFont val="Georgia"/>
        <family val="1"/>
      </rPr>
      <t> sheet provides per-symbol market prices as on 14-Apr-2026. Market value cash flows (Qty × Market Price) are entered as positive inflows on 14-Apr-2026 in </t>
    </r>
    <r>
      <rPr>
        <sz val="12"/>
        <color rgb="FF27251E"/>
        <rFont val="Courier New"/>
        <family val="3"/>
      </rPr>
      <t>Final_data</t>
    </r>
    <r>
      <rPr>
        <sz val="12"/>
        <color rgb="FF27251E"/>
        <rFont val="Georgia"/>
        <family val="1"/>
      </rPr>
      <t>, mirroring a hypothetical same-day liquidation. This is the standard XIRR treatment for unrealised positions.</t>
    </r>
  </si>
  <si>
    <r>
      <t>Data Sorting / Ordering Logic:</t>
    </r>
    <r>
      <rPr>
        <sz val="12"/>
        <color rgb="FF27251E"/>
        <rFont val="Georgia"/>
        <family val="1"/>
      </rPr>
      <t> All 148 aggregated rows are sorted in ascending chronological order (earliest date first: 10-Apr-2023; latest: 14-Apr-2026). This is mandatory for Excel's </t>
    </r>
    <r>
      <rPr>
        <sz val="12"/>
        <color rgb="FF27251E"/>
        <rFont val="Courier New"/>
        <family val="3"/>
      </rPr>
      <t>XIRR()</t>
    </r>
    <r>
      <rPr>
        <sz val="12"/>
        <color rgb="FF27251E"/>
        <rFont val="Georgia"/>
        <family val="1"/>
      </rPr>
      <t> function and for the Goal Seek NPV formula to compute day-count offsets correctly from the anchor date.</t>
    </r>
  </si>
  <si>
    <r>
      <t>Preprocessing Applied:</t>
    </r>
    <r>
      <rPr>
        <sz val="12"/>
        <color rgb="FF27251E"/>
        <rFont val="Georgia"/>
        <family val="1"/>
      </rPr>
      <t> Raw </t>
    </r>
    <r>
      <rPr>
        <sz val="12"/>
        <color rgb="FF27251E"/>
        <rFont val="Courier New"/>
        <family val="3"/>
      </rPr>
      <t>Merged_Data</t>
    </r>
    <r>
      <rPr>
        <sz val="12"/>
        <color rgb="FF27251E"/>
        <rFont val="Georgia"/>
        <family val="1"/>
      </rPr>
      <t> (831 rows, 6 columns) → date aggregation via pivot (</t>
    </r>
    <r>
      <rPr>
        <sz val="12"/>
        <color rgb="FF27251E"/>
        <rFont val="Courier New"/>
        <family val="3"/>
      </rPr>
      <t>Pivot_temp</t>
    </r>
    <r>
      <rPr>
        <sz val="12"/>
        <color rgb="FF27251E"/>
        <rFont val="Georgia"/>
        <family val="1"/>
      </rPr>
      <t>) → trade-type tagging (</t>
    </r>
    <r>
      <rPr>
        <sz val="12"/>
        <color rgb="FF27251E"/>
        <rFont val="Courier New"/>
        <family val="3"/>
      </rPr>
      <t>buy</t>
    </r>
    <r>
      <rPr>
        <sz val="12"/>
        <color rgb="FF27251E"/>
        <rFont val="Georgia"/>
        <family val="1"/>
      </rPr>
      <t>/</t>
    </r>
    <r>
      <rPr>
        <sz val="12"/>
        <color rgb="FF27251E"/>
        <rFont val="Courier New"/>
        <family val="3"/>
      </rPr>
      <t>sell</t>
    </r>
    <r>
      <rPr>
        <sz val="12"/>
        <color rgb="FF27251E"/>
        <rFont val="Georgia"/>
        <family val="1"/>
      </rPr>
      <t>) → sign enforcement (buy = negative, sell = positive) → open position market value appended → final 148-row cash flow series in </t>
    </r>
    <r>
      <rPr>
        <sz val="12"/>
        <color rgb="FF27251E"/>
        <rFont val="Courier New"/>
        <family val="3"/>
      </rPr>
      <t>Final_data</t>
    </r>
    <r>
      <rPr>
        <sz val="12"/>
        <color rgb="FF27251E"/>
        <rFont val="Georgia"/>
        <family val="1"/>
      </rPr>
      <t>.</t>
    </r>
  </si>
  <si>
    <r>
      <t>XIRR Failure Root Cause:</t>
    </r>
    <r>
      <rPr>
        <sz val="12"/>
        <color rgb="FF27251E"/>
        <rFont val="Georgia"/>
        <family val="1"/>
      </rPr>
      <t> Excel's </t>
    </r>
    <r>
      <rPr>
        <sz val="12"/>
        <color rgb="FF27251E"/>
        <rFont val="Courier New"/>
        <family val="3"/>
      </rPr>
      <t>XIRR()</t>
    </r>
    <r>
      <rPr>
        <sz val="12"/>
        <color rgb="FF27251E"/>
        <rFont val="Georgia"/>
        <family val="1"/>
      </rPr>
      <t> requires the first cash flow to be </t>
    </r>
    <r>
      <rPr>
        <sz val="12"/>
        <color rgb="FF27251E"/>
        <rFont val="Georgia"/>
        <family val="1"/>
      </rPr>
      <t>negative</t>
    </r>
    <r>
      <rPr>
        <sz val="12"/>
        <color rgb="FF27251E"/>
        <rFont val="Georgia"/>
        <family val="1"/>
      </rPr>
      <t> (an outflow). In this dataset, the first 10 cash flows are all positive (SELL without a preceding BUY), violating the sign-alternation prerequisite. Excel cannot find a valid initial guess to begin iteration, returning </t>
    </r>
    <r>
      <rPr>
        <sz val="12"/>
        <color rgb="FF27251E"/>
        <rFont val="Courier New"/>
        <family val="3"/>
      </rPr>
      <t>#NUM!</t>
    </r>
    <r>
      <rPr>
        <sz val="12"/>
        <color rgb="FF27251E"/>
        <rFont val="Georgia"/>
        <family val="1"/>
      </rPr>
      <t>. This is not a convergence failure — it is a structural sign-pattern violation. [ASSUMPTION: XIRR error type = </t>
    </r>
    <r>
      <rPr>
        <sz val="12"/>
        <color rgb="FF27251E"/>
        <rFont val="Courier New"/>
        <family val="3"/>
      </rPr>
      <t>#NUM!</t>
    </r>
    <r>
      <rPr>
        <sz val="12"/>
        <color rgb="FF27251E"/>
        <rFont val="Georgia"/>
        <family val="1"/>
      </rPr>
      <t> — rationale: dataset starts with all-positive CFs, which is the canonical trigger for this error in Excel 365.]</t>
    </r>
  </si>
  <si>
    <t>Tradebook Data Clarification Points</t>
  </si>
  <si>
    <t>#</t>
  </si>
  <si>
    <r>
      <t>Cash Flow Sign Convention:</t>
    </r>
    <r>
      <rPr>
        <sz val="12"/>
        <color rgb="FF27251E"/>
        <rFont val="Georgia"/>
        <family val="1"/>
      </rPr>
      <t xml:space="preserve"> BUY transactions are recorded as negative cash outflows (capital deployed); SELL transactions are recorded as positive cash inflows (capital recovered). This convention is applied consistently across all </t>
    </r>
    <r>
      <rPr>
        <b/>
        <sz val="12"/>
        <color rgb="FF27251E"/>
        <rFont val="Georgia"/>
        <family val="1"/>
      </rPr>
      <t>148</t>
    </r>
    <r>
      <rPr>
        <sz val="12"/>
        <color rgb="FF27251E"/>
        <rFont val="Georgia"/>
        <family val="1"/>
      </rPr>
      <t xml:space="preserve"> date-aggregated rows in </t>
    </r>
    <r>
      <rPr>
        <sz val="12"/>
        <color rgb="FF27251E"/>
        <rFont val="Courier New"/>
        <family val="3"/>
      </rPr>
      <t>Final_data</t>
    </r>
    <r>
      <rPr>
        <sz val="12"/>
        <color rgb="FF27251E"/>
        <rFont val="Georgia"/>
        <family val="1"/>
      </rPr>
      <t xml:space="preserve">. </t>
    </r>
    <r>
      <rPr>
        <b/>
        <sz val="12"/>
        <color rgb="FF27251E"/>
        <rFont val="Georgia"/>
        <family val="1"/>
      </rPr>
      <t>Total outflows: ₹1,68,46,932.94; Total inflows: ₹2,52,04,755.17.</t>
    </r>
  </si>
  <si>
    <r>
      <t>Date Normalization Method:</t>
    </r>
    <r>
      <rPr>
        <sz val="12"/>
        <color rgb="FF27251E"/>
        <rFont val="Georgia"/>
        <family val="1"/>
      </rPr>
      <t> All transaction timestamps are stripped to date-only precision (time component = 00:00:00). Multiple transactions on the same calendar date are aggregated into a single net cash flow via </t>
    </r>
    <r>
      <rPr>
        <sz val="12"/>
        <color rgb="FF27251E"/>
        <rFont val="Courier New"/>
        <family val="3"/>
      </rPr>
      <t>Sum of Cashflow</t>
    </r>
    <r>
      <rPr>
        <sz val="12"/>
        <color rgb="FF27251E"/>
        <rFont val="Georgia"/>
        <family val="1"/>
      </rPr>
      <t> (pivot from </t>
    </r>
    <r>
      <rPr>
        <sz val="12"/>
        <color rgb="FF27251E"/>
        <rFont val="Courier New"/>
        <family val="3"/>
      </rPr>
      <t>Pivot_temp</t>
    </r>
    <r>
      <rPr>
        <sz val="12"/>
        <color rgb="FF27251E"/>
        <rFont val="Georgia"/>
        <family val="1"/>
      </rPr>
      <t xml:space="preserve"> sheet). </t>
    </r>
    <r>
      <rPr>
        <b/>
        <sz val="12"/>
        <color rgb="FF27251E"/>
        <rFont val="Georgia"/>
        <family val="1"/>
      </rPr>
      <t>This reduces 831 raw trades to 148 date-level rows.</t>
    </r>
  </si>
  <si>
    <r>
      <t>Edge Case A — Missing BUY (10 rows, 10-Apr-2023 to 15-May-2023):</t>
    </r>
    <r>
      <rPr>
        <sz val="12"/>
        <color rgb="FF27251E"/>
        <rFont val="Georgia"/>
        <family val="1"/>
      </rPr>
      <t xml:space="preserve"> The dataset opens with 10 consecutive positive (SELL) cash flows before the first BUY appears on 16-May-2023. These represent sales of positions whose purchase transactions are absent from the tradebook. </t>
    </r>
    <r>
      <rPr>
        <b/>
        <sz val="12"/>
        <color rgb="FF27251E"/>
        <rFont val="Georgia"/>
        <family val="1"/>
      </rPr>
      <t>[ASSUMPTION: Zero acquisition cost on 10-Apr-2023 (earliest date)</t>
    </r>
    <r>
      <rPr>
        <sz val="12"/>
        <color rgb="FF27251E"/>
        <rFont val="Georgia"/>
        <family val="1"/>
      </rPr>
      <t xml:space="preserve"> — rationale: no BUY record exists in the Zerodha export; treating as ₹0 cost entry preserves cash flow integrity without fabricating a number. This is the most conservative treatment.]</t>
    </r>
  </si>
  <si>
    <r>
      <t>Edge Case B — Missing SELL (Open Positions):</t>
    </r>
    <r>
      <rPr>
        <sz val="12"/>
        <color rgb="FF27251E"/>
        <rFont val="Georgia"/>
        <family val="1"/>
      </rPr>
      <t> </t>
    </r>
    <r>
      <rPr>
        <b/>
        <sz val="12"/>
        <color rgb="FF27251E"/>
        <rFont val="Georgia"/>
        <family val="1"/>
      </rPr>
      <t>68 open positions</t>
    </r>
    <r>
      <rPr>
        <sz val="12"/>
        <color rgb="FF27251E"/>
        <rFont val="Georgia"/>
        <family val="1"/>
      </rPr>
      <t xml:space="preserve"> (held as of 14-Apr-2026) have no SELL record. [</t>
    </r>
    <r>
      <rPr>
        <b/>
        <sz val="12"/>
        <color rgb="FF27251E"/>
        <rFont val="Georgia"/>
        <family val="1"/>
      </rPr>
      <t>ASSUMPTION: All open positions closed on 14-Apr-2026 at NSE market closing prices</t>
    </r>
    <r>
      <rPr>
        <sz val="12"/>
        <color rgb="FF27251E"/>
        <rFont val="Georgia"/>
        <family val="1"/>
      </rPr>
      <t xml:space="preserve"> sourced from the </t>
    </r>
    <r>
      <rPr>
        <sz val="12"/>
        <color rgb="FF27251E"/>
        <rFont val="Courier New"/>
        <family val="3"/>
      </rPr>
      <t>Open_positions</t>
    </r>
    <r>
      <rPr>
        <sz val="12"/>
        <color rgb="FF27251E"/>
        <rFont val="Georgia"/>
        <family val="1"/>
      </rPr>
      <t> sheet, column "Market price as on 14-04-2026." The resulting sell-side cash flows are appended as positive entries on that date, totalling ₹1,87,57,940.00.]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</si>
</sst>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24"/>
      <color rgb="FF27251E"/>
      <name val="PplxSerif"/>
    </font>
    <font>
      <sz val="18"/>
      <color rgb="FF27251E"/>
      <name val="PplxSerif"/>
    </font>
    <font>
      <sz val="12"/>
      <color rgb="FF27251E"/>
      <name val="Georgia"/>
      <family val="1"/>
    </font>
    <font>
      <sz val="12"/>
      <color rgb="FF27251E"/>
      <name val="Courier New"/>
      <family val="3"/>
    </font>
    <font>
      <sz val="12"/>
      <color theme="1"/>
      <name val="Calibri"/>
      <family val="2"/>
    </font>
    <font>
      <b/>
      <sz val="12"/>
      <color rgb="FF27251E"/>
      <name val="Georgia"/>
      <family val="1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64" fontId="0" fillId="2" borderId="0" xfId="0" applyNumberFormat="1" applyFill="1" applyAlignment="1">
      <alignment horizontal="right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10" fontId="3" fillId="0" borderId="0" xfId="1" applyNumberFormat="1" applyFont="1"/>
    <xf numFmtId="164" fontId="3" fillId="3" borderId="0" xfId="0" applyNumberFormat="1" applyFont="1" applyFill="1"/>
    <xf numFmtId="0" fontId="10" fillId="4" borderId="0" xfId="0" applyFont="1" applyFill="1"/>
    <xf numFmtId="0" fontId="10" fillId="4" borderId="0" xfId="0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0" fontId="10" fillId="4" borderId="0" xfId="0" applyFont="1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2" fillId="0" borderId="0" xfId="0" applyFont="1" applyAlignment="1">
      <alignment horizontal="left"/>
    </xf>
    <xf numFmtId="164" fontId="0" fillId="5" borderId="0" xfId="0" applyNumberFormat="1" applyFill="1" applyAlignment="1">
      <alignment horizontal="right"/>
    </xf>
  </cellXfs>
  <cellStyles count="2">
    <cellStyle name="Normal" xfId="0" builtinId="0"/>
    <cellStyle name="Percent" xfId="1" builtinId="5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" refreshedDate="46127.579772569443" createdVersion="8" refreshedVersion="8" minRefreshableVersion="3" recordCount="831" xr:uid="{738638FF-7ECE-4F2E-AC80-DB1998C97F7D}">
  <cacheSource type="worksheet">
    <worksheetSource name="Tradebook_2023_2026"/>
  </cacheSource>
  <cacheFields count="9">
    <cacheField name="Symbol" numFmtId="0">
      <sharedItems/>
    </cacheField>
    <cacheField name="Trade Date" numFmtId="14">
      <sharedItems containsSemiMixedTypes="0" containsNonDate="0" containsDate="1" containsString="0" minDate="2023-04-10T00:00:00" maxDate="2026-03-31T00:00:00" count="80">
        <d v="2026-02-01T00:00:00"/>
        <d v="2026-02-02T00:00:00"/>
        <d v="2026-02-03T00:00:00"/>
        <d v="2026-02-04T00:00:00"/>
        <d v="2026-02-05T00:00:00"/>
        <d v="2026-02-06T00:00:00"/>
        <d v="2026-02-09T00:00:00"/>
        <d v="2026-02-11T00:00:00"/>
        <d v="2026-02-12T00:00:00"/>
        <d v="2026-02-16T00:00:00"/>
        <d v="2026-02-17T00:00:00"/>
        <d v="2026-02-19T00:00:00"/>
        <d v="2026-02-23T00:00:00"/>
        <d v="2026-03-02T00:00:00"/>
        <d v="2026-03-04T00:00:00"/>
        <d v="2026-03-06T00:00:00"/>
        <d v="2026-03-09T00:00:00"/>
        <d v="2026-03-10T00:00:00"/>
        <d v="2026-03-12T00:00:00"/>
        <d v="2026-03-13T00:00:00"/>
        <d v="2026-03-16T00:00:00"/>
        <d v="2026-03-17T00:00:00"/>
        <d v="2026-03-18T00:00:00"/>
        <d v="2026-03-23T00:00:00"/>
        <d v="2026-03-24T00:00:00"/>
        <d v="2026-03-27T00:00:00"/>
        <d v="2026-03-30T00:00:00"/>
        <d v="2023-04-10T00:00:00"/>
        <d v="2023-04-12T00:00:00"/>
        <d v="2023-04-13T00:00:00"/>
        <d v="2023-04-18T00:00:00"/>
        <d v="2023-04-19T00:00:00"/>
        <d v="2023-04-20T00:00:00"/>
        <d v="2023-04-21T00:00:00"/>
        <d v="2023-05-03T00:00:00"/>
        <d v="2023-05-05T00:00:00"/>
        <d v="2023-05-15T00:00:00"/>
        <d v="2023-05-16T00:00:00"/>
        <d v="2023-05-17T00:00:00"/>
        <d v="2023-05-19T00:00:00"/>
        <d v="2023-05-22T00:00:00"/>
        <d v="2023-05-23T00:00:00"/>
        <d v="2023-05-25T00:00:00"/>
        <d v="2023-05-29T00:00:00"/>
        <d v="2023-06-02T00:00:00"/>
        <d v="2023-06-05T00:00:00"/>
        <d v="2023-06-06T00:00:00"/>
        <d v="2023-06-12T00:00:00"/>
        <d v="2023-06-15T00:00:00"/>
        <d v="2023-06-20T00:00:00"/>
        <d v="2023-06-23T00:00:00"/>
        <d v="2023-06-26T00:00:00"/>
        <d v="2023-07-05T00:00:00"/>
        <d v="2023-07-06T00:00:00"/>
        <d v="2023-07-21T00:00:00"/>
        <d v="2023-07-24T00:00:00"/>
        <d v="2023-07-28T00:00:00"/>
        <d v="2023-07-31T00:00:00"/>
        <d v="2023-08-04T00:00:00"/>
        <d v="2023-08-14T00:00:00"/>
        <d v="2023-08-22T00:00:00"/>
        <d v="2023-09-12T00:00:00"/>
        <d v="2023-09-18T00:00:00"/>
        <d v="2023-09-22T00:00:00"/>
        <d v="2023-10-18T00:00:00"/>
        <d v="2023-10-26T00:00:00"/>
        <d v="2023-10-31T00:00:00"/>
        <d v="2023-11-01T00:00:00"/>
        <d v="2023-11-12T00:00:00"/>
        <d v="2023-11-17T00:00:00"/>
        <d v="2024-06-12T00:00:00"/>
        <d v="2024-06-13T00:00:00"/>
        <d v="2024-06-19T00:00:00"/>
        <d v="2024-07-01T00:00:00"/>
        <d v="2024-07-04T00:00:00"/>
        <d v="2024-07-22T00:00:00"/>
        <d v="2024-11-06T00:00:00"/>
        <d v="2024-11-08T00:00:00"/>
        <d v="2024-11-13T00:00:00"/>
        <d v="2025-02-21T00:00:00"/>
      </sharedItems>
      <fieldGroup par="8"/>
    </cacheField>
    <cacheField name="Trade Type" numFmtId="0">
      <sharedItems count="2">
        <s v="sell"/>
        <s v="buy"/>
      </sharedItems>
    </cacheField>
    <cacheField name="Quantity" numFmtId="0">
      <sharedItems containsSemiMixedTypes="0" containsString="0" containsNumber="1" containsInteger="1" minValue="1" maxValue="25400"/>
    </cacheField>
    <cacheField name="Price" numFmtId="0">
      <sharedItems containsSemiMixedTypes="0" containsString="0" containsNumber="1" minValue="3.19" maxValue="7452.6499000000003"/>
    </cacheField>
    <cacheField name="Cashflow" numFmtId="0">
      <sharedItems containsSemiMixedTypes="0" containsString="0" containsNumber="1" minValue="-840000" maxValue="1300500"/>
    </cacheField>
    <cacheField name="Months (Trade Date)" numFmtId="0" databaseField="0">
      <fieldGroup base="1">
        <rangePr groupBy="months" startDate="2023-04-10T00:00:00" endDate="2026-03-31T00:00:00"/>
        <groupItems count="14">
          <s v="&lt;10-04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3-2026"/>
        </groupItems>
      </fieldGroup>
    </cacheField>
    <cacheField name="Quarters (Trade Date)" numFmtId="0" databaseField="0">
      <fieldGroup base="1">
        <rangePr groupBy="quarters" startDate="2023-04-10T00:00:00" endDate="2026-03-31T00:00:00"/>
        <groupItems count="6">
          <s v="&lt;10-04-2023"/>
          <s v="Qtr1"/>
          <s v="Qtr2"/>
          <s v="Qtr3"/>
          <s v="Qtr4"/>
          <s v="&gt;31-03-2026"/>
        </groupItems>
      </fieldGroup>
    </cacheField>
    <cacheField name="Years (Trade Date)" numFmtId="0" databaseField="0">
      <fieldGroup base="1">
        <rangePr groupBy="years" startDate="2023-04-10T00:00:00" endDate="2026-03-31T00:00:00"/>
        <groupItems count="6">
          <s v="&lt;10-04-2023"/>
          <s v="2023"/>
          <s v="2024"/>
          <s v="2025"/>
          <s v="2026"/>
          <s v="&gt;31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">
  <r>
    <s v="BOHRAIND"/>
    <x v="0"/>
    <x v="0"/>
    <n v="1000"/>
    <n v="19"/>
    <n v="19000"/>
  </r>
  <r>
    <s v="BOHRAIND"/>
    <x v="0"/>
    <x v="0"/>
    <n v="1"/>
    <n v="18.5"/>
    <n v="18.5"/>
  </r>
  <r>
    <s v="BOHRAIND"/>
    <x v="0"/>
    <x v="0"/>
    <n v="55"/>
    <n v="18.5"/>
    <n v="1017.5"/>
  </r>
  <r>
    <s v="BOHRAIND"/>
    <x v="0"/>
    <x v="0"/>
    <n v="944"/>
    <n v="18.5"/>
    <n v="17464"/>
  </r>
  <r>
    <s v="PAYTM"/>
    <x v="0"/>
    <x v="1"/>
    <n v="21"/>
    <n v="1064.7"/>
    <n v="-22358.7"/>
  </r>
  <r>
    <s v="PAYTM"/>
    <x v="0"/>
    <x v="1"/>
    <n v="4"/>
    <n v="1064.6500000000001"/>
    <n v="-4258.6000000000004"/>
  </r>
  <r>
    <s v="GOKEX"/>
    <x v="1"/>
    <x v="1"/>
    <n v="1000"/>
    <n v="609.25"/>
    <n v="-609250"/>
  </r>
  <r>
    <s v="GOKEX"/>
    <x v="1"/>
    <x v="1"/>
    <n v="10"/>
    <n v="609.25"/>
    <n v="-6092.5"/>
  </r>
  <r>
    <s v="GOKEX"/>
    <x v="1"/>
    <x v="1"/>
    <n v="203"/>
    <n v="609.25"/>
    <n v="-123677.75"/>
  </r>
  <r>
    <s v="GOKEX"/>
    <x v="1"/>
    <x v="1"/>
    <n v="2"/>
    <n v="609.25"/>
    <n v="-1218.5"/>
  </r>
  <r>
    <s v="GOKEX"/>
    <x v="1"/>
    <x v="1"/>
    <n v="276"/>
    <n v="609.25"/>
    <n v="-168153"/>
  </r>
  <r>
    <s v="GOKEX"/>
    <x v="1"/>
    <x v="1"/>
    <n v="4"/>
    <n v="609.25"/>
    <n v="-2437"/>
  </r>
  <r>
    <s v="GOKEX"/>
    <x v="1"/>
    <x v="1"/>
    <n v="5"/>
    <n v="609.25"/>
    <n v="-3046.25"/>
  </r>
  <r>
    <s v="BOHRAIND"/>
    <x v="1"/>
    <x v="0"/>
    <n v="1000"/>
    <n v="20.05"/>
    <n v="20050"/>
  </r>
  <r>
    <s v="HERITGFOOD"/>
    <x v="1"/>
    <x v="1"/>
    <n v="645"/>
    <n v="346"/>
    <n v="-223170"/>
  </r>
  <r>
    <s v="WABAG"/>
    <x v="1"/>
    <x v="0"/>
    <n v="9"/>
    <n v="1075"/>
    <n v="9675"/>
  </r>
  <r>
    <s v="WABAG"/>
    <x v="1"/>
    <x v="0"/>
    <n v="26"/>
    <n v="1075"/>
    <n v="27950"/>
  </r>
  <r>
    <s v="WABAG"/>
    <x v="1"/>
    <x v="0"/>
    <n v="71"/>
    <n v="1075"/>
    <n v="76325"/>
  </r>
  <r>
    <s v="WABAG"/>
    <x v="1"/>
    <x v="0"/>
    <n v="25"/>
    <n v="1075"/>
    <n v="26875"/>
  </r>
  <r>
    <s v="WABAG"/>
    <x v="1"/>
    <x v="0"/>
    <n v="913"/>
    <n v="1075"/>
    <n v="981475"/>
  </r>
  <r>
    <s v="GOKEX"/>
    <x v="2"/>
    <x v="0"/>
    <n v="1436"/>
    <n v="694.05"/>
    <n v="996655.79999999993"/>
  </r>
  <r>
    <s v="GOKEX"/>
    <x v="2"/>
    <x v="0"/>
    <n v="64"/>
    <n v="694.05"/>
    <n v="44419.199999999997"/>
  </r>
  <r>
    <s v="GODREJPROP"/>
    <x v="2"/>
    <x v="0"/>
    <n v="10"/>
    <n v="1652.35"/>
    <n v="16523.5"/>
  </r>
  <r>
    <s v="GODREJPROP"/>
    <x v="2"/>
    <x v="0"/>
    <n v="114"/>
    <n v="1652.4"/>
    <n v="188373.6"/>
  </r>
  <r>
    <s v="GODREJPROP"/>
    <x v="2"/>
    <x v="0"/>
    <n v="16"/>
    <n v="1650.7"/>
    <n v="26411.200000000001"/>
  </r>
  <r>
    <s v="GODREJPROP"/>
    <x v="2"/>
    <x v="0"/>
    <n v="20"/>
    <n v="1653"/>
    <n v="33060"/>
  </r>
  <r>
    <s v="GODREJPROP"/>
    <x v="2"/>
    <x v="0"/>
    <n v="22"/>
    <n v="1652.9"/>
    <n v="36363.800000000003"/>
  </r>
  <r>
    <s v="GODREJPROP"/>
    <x v="2"/>
    <x v="0"/>
    <n v="29"/>
    <n v="1652.2"/>
    <n v="47913.8"/>
  </r>
  <r>
    <s v="GODREJPROP"/>
    <x v="2"/>
    <x v="0"/>
    <n v="32"/>
    <n v="1651.65"/>
    <n v="52852.800000000003"/>
  </r>
  <r>
    <s v="GODREJPROP"/>
    <x v="2"/>
    <x v="0"/>
    <n v="36"/>
    <n v="1653.3"/>
    <n v="59518.799999999996"/>
  </r>
  <r>
    <s v="GODREJPROP"/>
    <x v="2"/>
    <x v="0"/>
    <n v="43"/>
    <n v="1653.15"/>
    <n v="71085.45"/>
  </r>
  <r>
    <s v="GODREJPROP"/>
    <x v="2"/>
    <x v="0"/>
    <n v="48"/>
    <n v="1651.9"/>
    <n v="79291.200000000012"/>
  </r>
  <r>
    <s v="GODREJPROP"/>
    <x v="2"/>
    <x v="0"/>
    <n v="59"/>
    <n v="1651.8"/>
    <n v="97456.2"/>
  </r>
  <r>
    <s v="GODREJPROP"/>
    <x v="2"/>
    <x v="0"/>
    <n v="60"/>
    <n v="1653.1"/>
    <n v="99186"/>
  </r>
  <r>
    <s v="GODREJPROP"/>
    <x v="2"/>
    <x v="0"/>
    <n v="6"/>
    <n v="1652.3"/>
    <n v="9913.7999999999993"/>
  </r>
  <r>
    <s v="GODREJPROP"/>
    <x v="2"/>
    <x v="0"/>
    <n v="9"/>
    <n v="1650.75"/>
    <n v="14856.75"/>
  </r>
  <r>
    <s v="NAUKRI"/>
    <x v="3"/>
    <x v="1"/>
    <n v="10"/>
    <n v="1185.5"/>
    <n v="-11855"/>
  </r>
  <r>
    <s v="NAUKRI"/>
    <x v="3"/>
    <x v="1"/>
    <n v="10"/>
    <n v="1185.5999999999999"/>
    <n v="-11856"/>
  </r>
  <r>
    <s v="NAUKRI"/>
    <x v="3"/>
    <x v="1"/>
    <n v="36"/>
    <n v="1185.5999999999999"/>
    <n v="-42681.599999999999"/>
  </r>
  <r>
    <s v="NAUKRI"/>
    <x v="3"/>
    <x v="1"/>
    <n v="6"/>
    <n v="1185.5"/>
    <n v="-7113"/>
  </r>
  <r>
    <s v="NAUKRI"/>
    <x v="3"/>
    <x v="1"/>
    <n v="8"/>
    <n v="1185.5999999999999"/>
    <n v="-9484.7999999999993"/>
  </r>
  <r>
    <s v="GHCL"/>
    <x v="4"/>
    <x v="1"/>
    <n v="3"/>
    <n v="507.55"/>
    <n v="-1522.65"/>
  </r>
  <r>
    <s v="HAL"/>
    <x v="5"/>
    <x v="1"/>
    <n v="25"/>
    <n v="4008"/>
    <n v="-100200"/>
  </r>
  <r>
    <s v="NATIONALUM"/>
    <x v="6"/>
    <x v="1"/>
    <n v="10"/>
    <n v="358.25"/>
    <n v="-3582.5"/>
  </r>
  <r>
    <s v="NATIONALUM"/>
    <x v="6"/>
    <x v="1"/>
    <n v="10"/>
    <n v="358.25"/>
    <n v="-3582.5"/>
  </r>
  <r>
    <s v="NATIONALUM"/>
    <x v="6"/>
    <x v="1"/>
    <n v="1"/>
    <n v="358.25"/>
    <n v="-358.25"/>
  </r>
  <r>
    <s v="NATIONALUM"/>
    <x v="6"/>
    <x v="1"/>
    <n v="138"/>
    <n v="358.25"/>
    <n v="-49438.5"/>
  </r>
  <r>
    <s v="NATIONALUM"/>
    <x v="6"/>
    <x v="1"/>
    <n v="2"/>
    <n v="358.25"/>
    <n v="-716.5"/>
  </r>
  <r>
    <s v="NATIONALUM"/>
    <x v="6"/>
    <x v="1"/>
    <n v="2"/>
    <n v="358.25"/>
    <n v="-716.5"/>
  </r>
  <r>
    <s v="NATIONALUM"/>
    <x v="6"/>
    <x v="1"/>
    <n v="2"/>
    <n v="358.25"/>
    <n v="-716.5"/>
  </r>
  <r>
    <s v="NATIONALUM"/>
    <x v="6"/>
    <x v="1"/>
    <n v="50"/>
    <n v="358.25"/>
    <n v="-17912.5"/>
  </r>
  <r>
    <s v="NATIONALUM"/>
    <x v="6"/>
    <x v="1"/>
    <n v="5"/>
    <n v="358.25"/>
    <n v="-1791.25"/>
  </r>
  <r>
    <s v="NATIONALUM"/>
    <x v="6"/>
    <x v="1"/>
    <n v="655"/>
    <n v="358.25"/>
    <n v="-234653.75"/>
  </r>
  <r>
    <s v="PFC"/>
    <x v="6"/>
    <x v="1"/>
    <n v="189"/>
    <n v="417"/>
    <n v="-78813"/>
  </r>
  <r>
    <s v="PFC"/>
    <x v="6"/>
    <x v="1"/>
    <n v="21"/>
    <n v="417"/>
    <n v="-8757"/>
  </r>
  <r>
    <s v="PFC"/>
    <x v="6"/>
    <x v="1"/>
    <n v="390"/>
    <n v="417"/>
    <n v="-162630"/>
  </r>
  <r>
    <s v="RECLTD"/>
    <x v="6"/>
    <x v="1"/>
    <n v="600"/>
    <n v="357"/>
    <n v="-214200"/>
  </r>
  <r>
    <s v="APOLLOHOSP"/>
    <x v="7"/>
    <x v="0"/>
    <n v="1"/>
    <n v="7452.6499000000003"/>
    <n v="7452.6499000000003"/>
  </r>
  <r>
    <s v="CCAVENUE"/>
    <x v="7"/>
    <x v="0"/>
    <n v="200"/>
    <n v="18.899999999999999"/>
    <n v="3779.9999999999995"/>
  </r>
  <r>
    <s v="HINDWAREAP"/>
    <x v="7"/>
    <x v="0"/>
    <n v="2"/>
    <n v="252.04"/>
    <n v="504.08"/>
  </r>
  <r>
    <s v="HINDWAREAP"/>
    <x v="7"/>
    <x v="0"/>
    <n v="31"/>
    <n v="252.01"/>
    <n v="7812.3099999999995"/>
  </r>
  <r>
    <s v="HINDWAREAP"/>
    <x v="7"/>
    <x v="0"/>
    <n v="3"/>
    <n v="252.03"/>
    <n v="756.09"/>
  </r>
  <r>
    <s v="HINDWAREAP"/>
    <x v="7"/>
    <x v="0"/>
    <n v="4"/>
    <n v="252"/>
    <n v="1008"/>
  </r>
  <r>
    <s v="INFY"/>
    <x v="8"/>
    <x v="1"/>
    <n v="1"/>
    <n v="1434.4"/>
    <n v="-1434.4"/>
  </r>
  <r>
    <s v="INFY"/>
    <x v="8"/>
    <x v="1"/>
    <n v="65"/>
    <n v="1434.5"/>
    <n v="-93242.5"/>
  </r>
  <r>
    <s v="INFY"/>
    <x v="8"/>
    <x v="1"/>
    <n v="84"/>
    <n v="1434.4"/>
    <n v="-120489.60000000001"/>
  </r>
  <r>
    <s v="MFSL"/>
    <x v="8"/>
    <x v="0"/>
    <n v="62"/>
    <n v="1766"/>
    <n v="109492"/>
  </r>
  <r>
    <s v="MFSL"/>
    <x v="8"/>
    <x v="0"/>
    <n v="87"/>
    <n v="1766"/>
    <n v="153642"/>
  </r>
  <r>
    <s v="ECLERX"/>
    <x v="8"/>
    <x v="1"/>
    <n v="10"/>
    <n v="3780"/>
    <n v="-37800"/>
  </r>
  <r>
    <s v="PFOCUS"/>
    <x v="8"/>
    <x v="1"/>
    <n v="154"/>
    <n v="262.99"/>
    <n v="-40500.46"/>
  </r>
  <r>
    <s v="PFOCUS"/>
    <x v="8"/>
    <x v="1"/>
    <n v="276"/>
    <n v="262.99"/>
    <n v="-72585.240000000005"/>
  </r>
  <r>
    <s v="PFOCUS"/>
    <x v="8"/>
    <x v="1"/>
    <n v="330"/>
    <n v="263"/>
    <n v="-86790"/>
  </r>
  <r>
    <s v="SHAKTIPUMP"/>
    <x v="9"/>
    <x v="1"/>
    <n v="26"/>
    <n v="569.9"/>
    <n v="-14817.4"/>
  </r>
  <r>
    <s v="SHAKTIPUMP"/>
    <x v="9"/>
    <x v="1"/>
    <n v="287"/>
    <n v="570"/>
    <n v="-163590"/>
  </r>
  <r>
    <s v="CAMS"/>
    <x v="9"/>
    <x v="1"/>
    <n v="136"/>
    <n v="712.25"/>
    <n v="-96866"/>
  </r>
  <r>
    <s v="CAMS"/>
    <x v="9"/>
    <x v="1"/>
    <n v="142"/>
    <n v="712.25"/>
    <n v="-101139.5"/>
  </r>
  <r>
    <s v="ABB"/>
    <x v="9"/>
    <x v="1"/>
    <n v="1"/>
    <n v="5753"/>
    <n v="-5753"/>
  </r>
  <r>
    <s v="ABB"/>
    <x v="9"/>
    <x v="1"/>
    <n v="28"/>
    <n v="5753"/>
    <n v="-161084"/>
  </r>
  <r>
    <s v="ABB"/>
    <x v="9"/>
    <x v="1"/>
    <n v="5"/>
    <n v="5753"/>
    <n v="-28765"/>
  </r>
  <r>
    <s v="SBISILVER"/>
    <x v="10"/>
    <x v="1"/>
    <n v="100"/>
    <n v="224"/>
    <n v="-22400"/>
  </r>
  <r>
    <s v="SBISILVER"/>
    <x v="10"/>
    <x v="1"/>
    <n v="13"/>
    <n v="224"/>
    <n v="-2912"/>
  </r>
  <r>
    <s v="SBISILVER"/>
    <x v="10"/>
    <x v="1"/>
    <n v="683"/>
    <n v="224"/>
    <n v="-152992"/>
  </r>
  <r>
    <s v="SBISILVER"/>
    <x v="10"/>
    <x v="1"/>
    <n v="96"/>
    <n v="224"/>
    <n v="-21504"/>
  </r>
  <r>
    <s v="NCC"/>
    <x v="11"/>
    <x v="1"/>
    <n v="100"/>
    <n v="141"/>
    <n v="-14100"/>
  </r>
  <r>
    <s v="NCC"/>
    <x v="11"/>
    <x v="1"/>
    <n v="10"/>
    <n v="141"/>
    <n v="-1410"/>
  </r>
  <r>
    <s v="NCC"/>
    <x v="11"/>
    <x v="1"/>
    <n v="400"/>
    <n v="141"/>
    <n v="-56400"/>
  </r>
  <r>
    <s v="NCC"/>
    <x v="11"/>
    <x v="1"/>
    <n v="6"/>
    <n v="140.9"/>
    <n v="-845.40000000000009"/>
  </r>
  <r>
    <s v="NCC"/>
    <x v="11"/>
    <x v="1"/>
    <n v="853"/>
    <n v="141"/>
    <n v="-120273"/>
  </r>
  <r>
    <s v="ECLERX"/>
    <x v="12"/>
    <x v="1"/>
    <n v="11"/>
    <n v="3473"/>
    <n v="-38203"/>
  </r>
  <r>
    <s v="ECLERX"/>
    <x v="12"/>
    <x v="1"/>
    <n v="6"/>
    <n v="3472"/>
    <n v="-20832"/>
  </r>
  <r>
    <s v="ITC"/>
    <x v="13"/>
    <x v="1"/>
    <n v="10"/>
    <n v="310"/>
    <n v="-3100"/>
  </r>
  <r>
    <s v="ITC"/>
    <x v="13"/>
    <x v="1"/>
    <n v="10"/>
    <n v="310"/>
    <n v="-3100"/>
  </r>
  <r>
    <s v="ITC"/>
    <x v="13"/>
    <x v="1"/>
    <n v="11"/>
    <n v="310"/>
    <n v="-3410"/>
  </r>
  <r>
    <s v="ITC"/>
    <x v="13"/>
    <x v="1"/>
    <n v="4"/>
    <n v="310"/>
    <n v="-1240"/>
  </r>
  <r>
    <s v="ITC"/>
    <x v="13"/>
    <x v="1"/>
    <n v="4"/>
    <n v="310"/>
    <n v="-1240"/>
  </r>
  <r>
    <s v="ITC"/>
    <x v="13"/>
    <x v="1"/>
    <n v="5"/>
    <n v="309.95"/>
    <n v="-1549.75"/>
  </r>
  <r>
    <s v="ITC"/>
    <x v="13"/>
    <x v="1"/>
    <n v="600"/>
    <n v="310"/>
    <n v="-186000"/>
  </r>
  <r>
    <s v="RAILTEL"/>
    <x v="13"/>
    <x v="1"/>
    <n v="104"/>
    <n v="302"/>
    <n v="-31408"/>
  </r>
  <r>
    <s v="RAILTEL"/>
    <x v="13"/>
    <x v="1"/>
    <n v="107"/>
    <n v="302.05"/>
    <n v="-32319.350000000002"/>
  </r>
  <r>
    <s v="RAILTEL"/>
    <x v="13"/>
    <x v="1"/>
    <n v="11"/>
    <n v="302.2"/>
    <n v="-3324.2"/>
  </r>
  <r>
    <s v="RAILTEL"/>
    <x v="13"/>
    <x v="1"/>
    <n v="11"/>
    <n v="302.2"/>
    <n v="-3324.2"/>
  </r>
  <r>
    <s v="RAILTEL"/>
    <x v="13"/>
    <x v="1"/>
    <n v="11"/>
    <n v="302.2"/>
    <n v="-3324.2"/>
  </r>
  <r>
    <s v="RAILTEL"/>
    <x v="13"/>
    <x v="1"/>
    <n v="11"/>
    <n v="302.2"/>
    <n v="-3324.2"/>
  </r>
  <r>
    <s v="RAILTEL"/>
    <x v="13"/>
    <x v="1"/>
    <n v="11"/>
    <n v="302.2"/>
    <n v="-3324.2"/>
  </r>
  <r>
    <s v="RAILTEL"/>
    <x v="13"/>
    <x v="1"/>
    <n v="11"/>
    <n v="302.2"/>
    <n v="-3324.2"/>
  </r>
  <r>
    <s v="RAILTEL"/>
    <x v="13"/>
    <x v="1"/>
    <n v="1"/>
    <n v="301.85000000000002"/>
    <n v="-301.85000000000002"/>
  </r>
  <r>
    <s v="RAILTEL"/>
    <x v="13"/>
    <x v="1"/>
    <n v="13"/>
    <n v="301.8"/>
    <n v="-3923.4"/>
  </r>
  <r>
    <s v="RAILTEL"/>
    <x v="13"/>
    <x v="1"/>
    <n v="135"/>
    <n v="301.85000000000002"/>
    <n v="-40749.75"/>
  </r>
  <r>
    <s v="RAILTEL"/>
    <x v="13"/>
    <x v="1"/>
    <n v="2"/>
    <n v="302.05"/>
    <n v="-604.1"/>
  </r>
  <r>
    <s v="RAILTEL"/>
    <x v="13"/>
    <x v="1"/>
    <n v="2"/>
    <n v="302.05"/>
    <n v="-604.1"/>
  </r>
  <r>
    <s v="RAILTEL"/>
    <x v="13"/>
    <x v="1"/>
    <n v="2"/>
    <n v="302.05"/>
    <n v="-604.1"/>
  </r>
  <r>
    <s v="RAILTEL"/>
    <x v="13"/>
    <x v="1"/>
    <n v="2"/>
    <n v="302.05"/>
    <n v="-604.1"/>
  </r>
  <r>
    <s v="RAILTEL"/>
    <x v="13"/>
    <x v="1"/>
    <n v="2"/>
    <n v="302.05"/>
    <n v="-604.1"/>
  </r>
  <r>
    <s v="RAILTEL"/>
    <x v="13"/>
    <x v="1"/>
    <n v="2"/>
    <n v="302.05"/>
    <n v="-604.1"/>
  </r>
  <r>
    <s v="RAILTEL"/>
    <x v="13"/>
    <x v="1"/>
    <n v="2"/>
    <n v="302.05"/>
    <n v="-604.1"/>
  </r>
  <r>
    <s v="RAILTEL"/>
    <x v="13"/>
    <x v="1"/>
    <n v="2"/>
    <n v="302.05"/>
    <n v="-604.1"/>
  </r>
  <r>
    <s v="RAILTEL"/>
    <x v="13"/>
    <x v="1"/>
    <n v="222"/>
    <n v="302.14999999999998"/>
    <n v="-67077.299999999988"/>
  </r>
  <r>
    <s v="RAILTEL"/>
    <x v="13"/>
    <x v="1"/>
    <n v="23"/>
    <n v="302.2"/>
    <n v="-6950.5999999999995"/>
  </r>
  <r>
    <s v="RAILTEL"/>
    <x v="13"/>
    <x v="1"/>
    <n v="23"/>
    <n v="302.2"/>
    <n v="-6950.5999999999995"/>
  </r>
  <r>
    <s v="RAILTEL"/>
    <x v="13"/>
    <x v="1"/>
    <n v="23"/>
    <n v="302.2"/>
    <n v="-6950.5999999999995"/>
  </r>
  <r>
    <s v="RAILTEL"/>
    <x v="13"/>
    <x v="1"/>
    <n v="23"/>
    <n v="302.2"/>
    <n v="-6950.5999999999995"/>
  </r>
  <r>
    <s v="RAILTEL"/>
    <x v="13"/>
    <x v="1"/>
    <n v="23"/>
    <n v="302.2"/>
    <n v="-6950.5999999999995"/>
  </r>
  <r>
    <s v="RAILTEL"/>
    <x v="13"/>
    <x v="1"/>
    <n v="23"/>
    <n v="302.2"/>
    <n v="-6950.5999999999995"/>
  </r>
  <r>
    <s v="RAILTEL"/>
    <x v="13"/>
    <x v="1"/>
    <n v="373"/>
    <n v="301.89999999999998"/>
    <n v="-112608.7"/>
  </r>
  <r>
    <s v="RAILTEL"/>
    <x v="13"/>
    <x v="1"/>
    <n v="38"/>
    <n v="302.05"/>
    <n v="-11477.9"/>
  </r>
  <r>
    <s v="RAILTEL"/>
    <x v="13"/>
    <x v="1"/>
    <n v="38"/>
    <n v="302.05"/>
    <n v="-11477.9"/>
  </r>
  <r>
    <s v="RAILTEL"/>
    <x v="13"/>
    <x v="1"/>
    <n v="38"/>
    <n v="302.05"/>
    <n v="-11477.9"/>
  </r>
  <r>
    <s v="RAILTEL"/>
    <x v="13"/>
    <x v="1"/>
    <n v="38"/>
    <n v="302.05"/>
    <n v="-11477.9"/>
  </r>
  <r>
    <s v="RAILTEL"/>
    <x v="13"/>
    <x v="1"/>
    <n v="38"/>
    <n v="302.05"/>
    <n v="-11477.9"/>
  </r>
  <r>
    <s v="RAILTEL"/>
    <x v="13"/>
    <x v="1"/>
    <n v="38"/>
    <n v="302.05"/>
    <n v="-11477.9"/>
  </r>
  <r>
    <s v="RAILTEL"/>
    <x v="13"/>
    <x v="1"/>
    <n v="38"/>
    <n v="302.05"/>
    <n v="-11477.9"/>
  </r>
  <r>
    <s v="RAILTEL"/>
    <x v="13"/>
    <x v="1"/>
    <n v="5"/>
    <n v="301.95"/>
    <n v="-1509.75"/>
  </r>
  <r>
    <s v="RAILTEL"/>
    <x v="13"/>
    <x v="1"/>
    <n v="9"/>
    <n v="302.2"/>
    <n v="-2719.7999999999997"/>
  </r>
  <r>
    <s v="RTNPOWER"/>
    <x v="13"/>
    <x v="1"/>
    <n v="3139"/>
    <n v="8"/>
    <n v="-25112"/>
  </r>
  <r>
    <s v="RTNPOWER"/>
    <x v="13"/>
    <x v="1"/>
    <n v="3195"/>
    <n v="7.99"/>
    <n v="-25528.05"/>
  </r>
  <r>
    <s v="RTNPOWER"/>
    <x v="13"/>
    <x v="1"/>
    <n v="6166"/>
    <n v="7.99"/>
    <n v="-49266.340000000004"/>
  </r>
  <r>
    <s v="CONCOR"/>
    <x v="13"/>
    <x v="1"/>
    <n v="20"/>
    <n v="478.9"/>
    <n v="-9578"/>
  </r>
  <r>
    <s v="CONCOR"/>
    <x v="13"/>
    <x v="1"/>
    <n v="21"/>
    <n v="478.9"/>
    <n v="-10056.9"/>
  </r>
  <r>
    <s v="CONCOR"/>
    <x v="13"/>
    <x v="1"/>
    <n v="2"/>
    <n v="478.9"/>
    <n v="-957.8"/>
  </r>
  <r>
    <s v="CONCOR"/>
    <x v="13"/>
    <x v="1"/>
    <n v="2"/>
    <n v="478.9"/>
    <n v="-957.8"/>
  </r>
  <r>
    <s v="CONCOR"/>
    <x v="13"/>
    <x v="1"/>
    <n v="2"/>
    <n v="478.9"/>
    <n v="-957.8"/>
  </r>
  <r>
    <s v="CONCOR"/>
    <x v="13"/>
    <x v="1"/>
    <n v="2"/>
    <n v="478.9"/>
    <n v="-957.8"/>
  </r>
  <r>
    <s v="CONCOR"/>
    <x v="13"/>
    <x v="1"/>
    <n v="24"/>
    <n v="478.9"/>
    <n v="-11493.599999999999"/>
  </r>
  <r>
    <s v="CONCOR"/>
    <x v="13"/>
    <x v="1"/>
    <n v="24"/>
    <n v="478.9"/>
    <n v="-11493.599999999999"/>
  </r>
  <r>
    <s v="CONCOR"/>
    <x v="13"/>
    <x v="1"/>
    <n v="24"/>
    <n v="478.9"/>
    <n v="-11493.599999999999"/>
  </r>
  <r>
    <s v="CONCOR"/>
    <x v="13"/>
    <x v="1"/>
    <n v="24"/>
    <n v="478.9"/>
    <n v="-11493.599999999999"/>
  </r>
  <r>
    <s v="CONCOR"/>
    <x v="13"/>
    <x v="1"/>
    <n v="26"/>
    <n v="478.85"/>
    <n v="-12450.1"/>
  </r>
  <r>
    <s v="CONCOR"/>
    <x v="13"/>
    <x v="1"/>
    <n v="4"/>
    <n v="478.8"/>
    <n v="-1915.2"/>
  </r>
  <r>
    <s v="CONCOR"/>
    <x v="13"/>
    <x v="1"/>
    <n v="66"/>
    <n v="478.85"/>
    <n v="-31604.100000000002"/>
  </r>
  <r>
    <s v="CONCOR"/>
    <x v="13"/>
    <x v="1"/>
    <n v="66"/>
    <n v="478.9"/>
    <n v="-31607.399999999998"/>
  </r>
  <r>
    <s v="CONCOR"/>
    <x v="13"/>
    <x v="1"/>
    <n v="93"/>
    <n v="478.9"/>
    <n v="-44537.7"/>
  </r>
  <r>
    <s v="PARAS"/>
    <x v="14"/>
    <x v="0"/>
    <n v="100"/>
    <n v="746.2"/>
    <n v="74620"/>
  </r>
  <r>
    <s v="PFS"/>
    <x v="14"/>
    <x v="1"/>
    <n v="1541"/>
    <n v="28.4"/>
    <n v="-43764.399999999994"/>
  </r>
  <r>
    <s v="PFS"/>
    <x v="14"/>
    <x v="1"/>
    <n v="459"/>
    <n v="28.4"/>
    <n v="-13035.599999999999"/>
  </r>
  <r>
    <s v="RAILTEL"/>
    <x v="14"/>
    <x v="1"/>
    <n v="1100"/>
    <n v="282"/>
    <n v="-310200"/>
  </r>
  <r>
    <s v="RAILTEL"/>
    <x v="14"/>
    <x v="1"/>
    <n v="123"/>
    <n v="282"/>
    <n v="-34686"/>
  </r>
  <r>
    <s v="RAILTEL"/>
    <x v="14"/>
    <x v="1"/>
    <n v="26"/>
    <n v="282"/>
    <n v="-7332"/>
  </r>
  <r>
    <s v="RAILTEL"/>
    <x v="14"/>
    <x v="1"/>
    <n v="30"/>
    <n v="282"/>
    <n v="-8460"/>
  </r>
  <r>
    <s v="RAILTEL"/>
    <x v="14"/>
    <x v="1"/>
    <n v="53"/>
    <n v="282"/>
    <n v="-14946"/>
  </r>
  <r>
    <s v="RAILTEL"/>
    <x v="14"/>
    <x v="1"/>
    <n v="68"/>
    <n v="282"/>
    <n v="-19176"/>
  </r>
  <r>
    <s v="KAIZENAGRO"/>
    <x v="14"/>
    <x v="1"/>
    <n v="35"/>
    <n v="8.1999999999999993"/>
    <n v="-287"/>
  </r>
  <r>
    <s v="GSPL"/>
    <x v="15"/>
    <x v="1"/>
    <n v="11"/>
    <n v="288.8"/>
    <n v="-3176.8"/>
  </r>
  <r>
    <s v="GSPL"/>
    <x v="15"/>
    <x v="1"/>
    <n v="1"/>
    <n v="288.95"/>
    <n v="-288.95"/>
  </r>
  <r>
    <s v="GSPL"/>
    <x v="15"/>
    <x v="1"/>
    <n v="1"/>
    <n v="288.95"/>
    <n v="-288.95"/>
  </r>
  <r>
    <s v="GSPL"/>
    <x v="15"/>
    <x v="1"/>
    <n v="1"/>
    <n v="289"/>
    <n v="-289"/>
  </r>
  <r>
    <s v="GSPL"/>
    <x v="15"/>
    <x v="1"/>
    <n v="1"/>
    <n v="289"/>
    <n v="-289"/>
  </r>
  <r>
    <s v="GSPL"/>
    <x v="15"/>
    <x v="1"/>
    <n v="1"/>
    <n v="289"/>
    <n v="-289"/>
  </r>
  <r>
    <s v="GSPL"/>
    <x v="15"/>
    <x v="1"/>
    <n v="1"/>
    <n v="289"/>
    <n v="-289"/>
  </r>
  <r>
    <s v="GSPL"/>
    <x v="15"/>
    <x v="1"/>
    <n v="1"/>
    <n v="289"/>
    <n v="-289"/>
  </r>
  <r>
    <s v="GSPL"/>
    <x v="15"/>
    <x v="1"/>
    <n v="1"/>
    <n v="289"/>
    <n v="-289"/>
  </r>
  <r>
    <s v="GSPL"/>
    <x v="15"/>
    <x v="1"/>
    <n v="1"/>
    <n v="289"/>
    <n v="-289"/>
  </r>
  <r>
    <s v="GSPL"/>
    <x v="15"/>
    <x v="1"/>
    <n v="13"/>
    <n v="288.8"/>
    <n v="-3754.4"/>
  </r>
  <r>
    <s v="GSPL"/>
    <x v="15"/>
    <x v="1"/>
    <n v="14"/>
    <n v="288.89999999999998"/>
    <n v="-4044.5999999999995"/>
  </r>
  <r>
    <s v="GSPL"/>
    <x v="15"/>
    <x v="1"/>
    <n v="16"/>
    <n v="289"/>
    <n v="-4624"/>
  </r>
  <r>
    <s v="GSPL"/>
    <x v="15"/>
    <x v="1"/>
    <n v="16"/>
    <n v="289"/>
    <n v="-4624"/>
  </r>
  <r>
    <s v="GSPL"/>
    <x v="15"/>
    <x v="1"/>
    <n v="16"/>
    <n v="289"/>
    <n v="-4624"/>
  </r>
  <r>
    <s v="GSPL"/>
    <x v="15"/>
    <x v="1"/>
    <n v="16"/>
    <n v="289"/>
    <n v="-4624"/>
  </r>
  <r>
    <s v="GSPL"/>
    <x v="15"/>
    <x v="1"/>
    <n v="16"/>
    <n v="289"/>
    <n v="-4624"/>
  </r>
  <r>
    <s v="GSPL"/>
    <x v="15"/>
    <x v="1"/>
    <n v="16"/>
    <n v="289"/>
    <n v="-4624"/>
  </r>
  <r>
    <s v="GSPL"/>
    <x v="15"/>
    <x v="1"/>
    <n v="24"/>
    <n v="288.95"/>
    <n v="-6934.7999999999993"/>
  </r>
  <r>
    <s v="GSPL"/>
    <x v="15"/>
    <x v="1"/>
    <n v="31"/>
    <n v="288.95"/>
    <n v="-8957.4499999999989"/>
  </r>
  <r>
    <s v="GSPL"/>
    <x v="15"/>
    <x v="1"/>
    <n v="31"/>
    <n v="288.95"/>
    <n v="-8957.4499999999989"/>
  </r>
  <r>
    <s v="GSPL"/>
    <x v="15"/>
    <x v="1"/>
    <n v="31"/>
    <n v="288.95"/>
    <n v="-8957.4499999999989"/>
  </r>
  <r>
    <s v="GSPL"/>
    <x v="15"/>
    <x v="1"/>
    <n v="31"/>
    <n v="288.95"/>
    <n v="-8957.4499999999989"/>
  </r>
  <r>
    <s v="GSPL"/>
    <x v="15"/>
    <x v="1"/>
    <n v="31"/>
    <n v="288.95"/>
    <n v="-8957.4499999999989"/>
  </r>
  <r>
    <s v="GSPL"/>
    <x v="15"/>
    <x v="1"/>
    <n v="31"/>
    <n v="288.95"/>
    <n v="-8957.4499999999989"/>
  </r>
  <r>
    <s v="GSPL"/>
    <x v="15"/>
    <x v="1"/>
    <n v="3"/>
    <n v="289"/>
    <n v="-867"/>
  </r>
  <r>
    <s v="GSPL"/>
    <x v="15"/>
    <x v="1"/>
    <n v="3"/>
    <n v="289"/>
    <n v="-867"/>
  </r>
  <r>
    <s v="GSPL"/>
    <x v="15"/>
    <x v="1"/>
    <n v="3"/>
    <n v="289"/>
    <n v="-867"/>
  </r>
  <r>
    <s v="GSPL"/>
    <x v="15"/>
    <x v="1"/>
    <n v="3"/>
    <n v="289"/>
    <n v="-867"/>
  </r>
  <r>
    <s v="GSPL"/>
    <x v="15"/>
    <x v="1"/>
    <n v="3"/>
    <n v="289"/>
    <n v="-867"/>
  </r>
  <r>
    <s v="GSPL"/>
    <x v="15"/>
    <x v="1"/>
    <n v="3"/>
    <n v="289"/>
    <n v="-867"/>
  </r>
  <r>
    <s v="GSPL"/>
    <x v="15"/>
    <x v="1"/>
    <n v="3"/>
    <n v="289"/>
    <n v="-867"/>
  </r>
  <r>
    <s v="GSPL"/>
    <x v="15"/>
    <x v="1"/>
    <n v="3"/>
    <n v="289"/>
    <n v="-867"/>
  </r>
  <r>
    <s v="GSPL"/>
    <x v="15"/>
    <x v="1"/>
    <n v="3"/>
    <n v="289"/>
    <n v="-867"/>
  </r>
  <r>
    <s v="GSPL"/>
    <x v="15"/>
    <x v="1"/>
    <n v="3"/>
    <n v="289"/>
    <n v="-867"/>
  </r>
  <r>
    <s v="GSPL"/>
    <x v="15"/>
    <x v="1"/>
    <n v="3"/>
    <n v="289"/>
    <n v="-867"/>
  </r>
  <r>
    <s v="GSPL"/>
    <x v="15"/>
    <x v="1"/>
    <n v="3"/>
    <n v="289"/>
    <n v="-867"/>
  </r>
  <r>
    <s v="GSPL"/>
    <x v="15"/>
    <x v="1"/>
    <n v="3"/>
    <n v="289"/>
    <n v="-867"/>
  </r>
  <r>
    <s v="GSPL"/>
    <x v="15"/>
    <x v="1"/>
    <n v="3"/>
    <n v="289"/>
    <n v="-867"/>
  </r>
  <r>
    <s v="GSPL"/>
    <x v="15"/>
    <x v="1"/>
    <n v="5"/>
    <n v="288.95"/>
    <n v="-1444.75"/>
  </r>
  <r>
    <s v="GSPL"/>
    <x v="15"/>
    <x v="1"/>
    <n v="7"/>
    <n v="289"/>
    <n v="-2023"/>
  </r>
  <r>
    <s v="GSPL"/>
    <x v="15"/>
    <x v="1"/>
    <n v="7"/>
    <n v="289"/>
    <n v="-2023"/>
  </r>
  <r>
    <s v="GSPL"/>
    <x v="15"/>
    <x v="1"/>
    <n v="7"/>
    <n v="289"/>
    <n v="-2023"/>
  </r>
  <r>
    <s v="GSPL"/>
    <x v="15"/>
    <x v="1"/>
    <n v="7"/>
    <n v="289"/>
    <n v="-2023"/>
  </r>
  <r>
    <s v="GSPL"/>
    <x v="15"/>
    <x v="1"/>
    <n v="7"/>
    <n v="289"/>
    <n v="-2023"/>
  </r>
  <r>
    <s v="GSPL"/>
    <x v="15"/>
    <x v="1"/>
    <n v="7"/>
    <n v="289"/>
    <n v="-2023"/>
  </r>
  <r>
    <s v="GSPL"/>
    <x v="15"/>
    <x v="1"/>
    <n v="7"/>
    <n v="289"/>
    <n v="-2023"/>
  </r>
  <r>
    <s v="GSPL"/>
    <x v="15"/>
    <x v="1"/>
    <n v="7"/>
    <n v="289"/>
    <n v="-2023"/>
  </r>
  <r>
    <s v="GSPL"/>
    <x v="15"/>
    <x v="1"/>
    <n v="7"/>
    <n v="289"/>
    <n v="-2023"/>
  </r>
  <r>
    <s v="GSPL"/>
    <x v="15"/>
    <x v="1"/>
    <n v="7"/>
    <n v="289"/>
    <n v="-2023"/>
  </r>
  <r>
    <s v="GSPL"/>
    <x v="15"/>
    <x v="1"/>
    <n v="7"/>
    <n v="289"/>
    <n v="-2023"/>
  </r>
  <r>
    <s v="GSPL"/>
    <x v="15"/>
    <x v="1"/>
    <n v="7"/>
    <n v="289"/>
    <n v="-2023"/>
  </r>
  <r>
    <s v="GSPL"/>
    <x v="15"/>
    <x v="1"/>
    <n v="7"/>
    <n v="289"/>
    <n v="-2023"/>
  </r>
  <r>
    <s v="GSPL"/>
    <x v="15"/>
    <x v="1"/>
    <n v="8"/>
    <n v="288.8"/>
    <n v="-2310.4"/>
  </r>
  <r>
    <s v="GSPL"/>
    <x v="15"/>
    <x v="1"/>
    <n v="8"/>
    <n v="288.95"/>
    <n v="-2311.6"/>
  </r>
  <r>
    <s v="GSPL"/>
    <x v="15"/>
    <x v="1"/>
    <n v="8"/>
    <n v="288.95"/>
    <n v="-2311.6"/>
  </r>
  <r>
    <s v="GSPL"/>
    <x v="15"/>
    <x v="1"/>
    <n v="8"/>
    <n v="288.95"/>
    <n v="-2311.6"/>
  </r>
  <r>
    <s v="GSPL"/>
    <x v="15"/>
    <x v="1"/>
    <n v="8"/>
    <n v="288.95"/>
    <n v="-2311.6"/>
  </r>
  <r>
    <s v="GSPL"/>
    <x v="15"/>
    <x v="1"/>
    <n v="8"/>
    <n v="288.95"/>
    <n v="-2311.6"/>
  </r>
  <r>
    <s v="GSPL"/>
    <x v="15"/>
    <x v="1"/>
    <n v="8"/>
    <n v="288.95"/>
    <n v="-2311.6"/>
  </r>
  <r>
    <s v="GSPL"/>
    <x v="15"/>
    <x v="1"/>
    <n v="8"/>
    <n v="288.95"/>
    <n v="-2311.6"/>
  </r>
  <r>
    <s v="ASTERDM"/>
    <x v="15"/>
    <x v="0"/>
    <n v="37"/>
    <n v="666.85"/>
    <n v="24673.45"/>
  </r>
  <r>
    <s v="MAZDOCK"/>
    <x v="15"/>
    <x v="0"/>
    <n v="2"/>
    <n v="2454.3000000000002"/>
    <n v="4908.6000000000004"/>
  </r>
  <r>
    <s v="LT"/>
    <x v="16"/>
    <x v="1"/>
    <n v="17"/>
    <n v="3799.1001000000001"/>
    <n v="-64584.701700000005"/>
  </r>
  <r>
    <s v="LT"/>
    <x v="16"/>
    <x v="1"/>
    <n v="20"/>
    <n v="3806.5"/>
    <n v="-76130"/>
  </r>
  <r>
    <s v="LT"/>
    <x v="16"/>
    <x v="1"/>
    <n v="23"/>
    <n v="3806.3998999999999"/>
    <n v="-87547.197700000004"/>
  </r>
  <r>
    <s v="LT"/>
    <x v="16"/>
    <x v="1"/>
    <n v="25"/>
    <n v="3799"/>
    <n v="-94975"/>
  </r>
  <r>
    <s v="LT"/>
    <x v="16"/>
    <x v="1"/>
    <n v="3"/>
    <n v="3799.3"/>
    <n v="-11397.900000000001"/>
  </r>
  <r>
    <s v="LT"/>
    <x v="16"/>
    <x v="1"/>
    <n v="3"/>
    <n v="3806.2"/>
    <n v="-11418.599999999999"/>
  </r>
  <r>
    <s v="LT"/>
    <x v="16"/>
    <x v="1"/>
    <n v="37"/>
    <n v="3806.6001000000001"/>
    <n v="-140844.20370000001"/>
  </r>
  <r>
    <s v="LT"/>
    <x v="16"/>
    <x v="1"/>
    <n v="5"/>
    <n v="3806.3998999999999"/>
    <n v="-19031.999499999998"/>
  </r>
  <r>
    <s v="JKIL"/>
    <x v="16"/>
    <x v="1"/>
    <n v="44"/>
    <n v="459"/>
    <n v="-20196"/>
  </r>
  <r>
    <s v="HERITGFOOD"/>
    <x v="16"/>
    <x v="0"/>
    <n v="1"/>
    <n v="300"/>
    <n v="300"/>
  </r>
  <r>
    <s v="HERITGFOOD"/>
    <x v="16"/>
    <x v="0"/>
    <n v="129"/>
    <n v="300"/>
    <n v="38700"/>
  </r>
  <r>
    <s v="HERITGFOOD"/>
    <x v="16"/>
    <x v="0"/>
    <n v="382"/>
    <n v="300"/>
    <n v="114600"/>
  </r>
  <r>
    <s v="GUJGASLTD"/>
    <x v="16"/>
    <x v="1"/>
    <n v="135"/>
    <n v="370.25"/>
    <n v="-49983.75"/>
  </r>
  <r>
    <s v="RAILTEL"/>
    <x v="17"/>
    <x v="0"/>
    <n v="4500"/>
    <n v="289"/>
    <n v="1300500"/>
  </r>
  <r>
    <s v="RAILTEL"/>
    <x v="17"/>
    <x v="0"/>
    <n v="585"/>
    <n v="289"/>
    <n v="169065"/>
  </r>
  <r>
    <s v="RAILTEL"/>
    <x v="17"/>
    <x v="0"/>
    <n v="617"/>
    <n v="289"/>
    <n v="178313"/>
  </r>
  <r>
    <s v="RAILTEL"/>
    <x v="17"/>
    <x v="0"/>
    <n v="8"/>
    <n v="289"/>
    <n v="2312"/>
  </r>
  <r>
    <s v="GOKEX"/>
    <x v="17"/>
    <x v="0"/>
    <n v="1078"/>
    <n v="626.79999999999995"/>
    <n v="675690.39999999991"/>
  </r>
  <r>
    <s v="GOKEX"/>
    <x v="17"/>
    <x v="0"/>
    <n v="152"/>
    <n v="626.79999999999995"/>
    <n v="95273.599999999991"/>
  </r>
  <r>
    <s v="GOKEX"/>
    <x v="17"/>
    <x v="0"/>
    <n v="168"/>
    <n v="626.79999999999995"/>
    <n v="105302.39999999999"/>
  </r>
  <r>
    <s v="GOKEX"/>
    <x v="17"/>
    <x v="0"/>
    <n v="20"/>
    <n v="626.79999999999995"/>
    <n v="12536"/>
  </r>
  <r>
    <s v="GOKEX"/>
    <x v="17"/>
    <x v="0"/>
    <n v="27"/>
    <n v="626.79999999999995"/>
    <n v="16923.599999999999"/>
  </r>
  <r>
    <s v="GOKEX"/>
    <x v="17"/>
    <x v="0"/>
    <n v="55"/>
    <n v="626.79999999999995"/>
    <n v="34474"/>
  </r>
  <r>
    <s v="DEEPAKFERT"/>
    <x v="18"/>
    <x v="1"/>
    <n v="205"/>
    <n v="975"/>
    <n v="-199875"/>
  </r>
  <r>
    <s v="SOBHA"/>
    <x v="19"/>
    <x v="1"/>
    <n v="150"/>
    <n v="1336.5"/>
    <n v="-200475"/>
  </r>
  <r>
    <s v="INFY"/>
    <x v="19"/>
    <x v="1"/>
    <n v="160"/>
    <n v="1250"/>
    <n v="-200000"/>
  </r>
  <r>
    <s v="YESBANK"/>
    <x v="19"/>
    <x v="1"/>
    <n v="1060"/>
    <n v="19.11"/>
    <n v="-20256.599999999999"/>
  </r>
  <r>
    <s v="YESBANK"/>
    <x v="19"/>
    <x v="1"/>
    <n v="1"/>
    <n v="19.11"/>
    <n v="-19.11"/>
  </r>
  <r>
    <s v="YESBANK"/>
    <x v="19"/>
    <x v="1"/>
    <n v="1"/>
    <n v="19.11"/>
    <n v="-19.11"/>
  </r>
  <r>
    <s v="YESBANK"/>
    <x v="19"/>
    <x v="1"/>
    <n v="1"/>
    <n v="19.11"/>
    <n v="-19.11"/>
  </r>
  <r>
    <s v="YESBANK"/>
    <x v="19"/>
    <x v="1"/>
    <n v="1"/>
    <n v="19.11"/>
    <n v="-19.11"/>
  </r>
  <r>
    <s v="YESBANK"/>
    <x v="19"/>
    <x v="1"/>
    <n v="1"/>
    <n v="19.11"/>
    <n v="-19.11"/>
  </r>
  <r>
    <s v="YESBANK"/>
    <x v="19"/>
    <x v="1"/>
    <n v="1"/>
    <n v="19.11"/>
    <n v="-19.11"/>
  </r>
  <r>
    <s v="YESBANK"/>
    <x v="19"/>
    <x v="1"/>
    <n v="24334"/>
    <n v="19.11"/>
    <n v="-465022.74"/>
  </r>
  <r>
    <s v="ETERNAL"/>
    <x v="19"/>
    <x v="1"/>
    <n v="999"/>
    <n v="217"/>
    <n v="-216783"/>
  </r>
  <r>
    <s v="ROUTE"/>
    <x v="19"/>
    <x v="1"/>
    <n v="279"/>
    <n v="462"/>
    <n v="-128898"/>
  </r>
  <r>
    <s v="ROUTE"/>
    <x v="19"/>
    <x v="1"/>
    <n v="4"/>
    <n v="462"/>
    <n v="-1848"/>
  </r>
  <r>
    <s v="ROUTE"/>
    <x v="19"/>
    <x v="1"/>
    <n v="5"/>
    <n v="462"/>
    <n v="-2310"/>
  </r>
  <r>
    <s v="GODREJIND"/>
    <x v="20"/>
    <x v="1"/>
    <n v="12"/>
    <n v="824.5"/>
    <n v="-9894"/>
  </r>
  <r>
    <s v="GODREJIND"/>
    <x v="20"/>
    <x v="1"/>
    <n v="294"/>
    <n v="825"/>
    <n v="-242550"/>
  </r>
  <r>
    <s v="GODREJIND"/>
    <x v="20"/>
    <x v="1"/>
    <n v="39"/>
    <n v="824.85"/>
    <n v="-32169.15"/>
  </r>
  <r>
    <s v="GODREJIND"/>
    <x v="20"/>
    <x v="1"/>
    <n v="7"/>
    <n v="824.55"/>
    <n v="-5771.8499999999995"/>
  </r>
  <r>
    <s v="GODREJIND"/>
    <x v="20"/>
    <x v="1"/>
    <n v="8"/>
    <n v="824.25"/>
    <n v="-6594"/>
  </r>
  <r>
    <s v="PARADEEP"/>
    <x v="20"/>
    <x v="1"/>
    <n v="1555"/>
    <n v="107"/>
    <n v="-166385"/>
  </r>
  <r>
    <s v="GOKEX"/>
    <x v="20"/>
    <x v="1"/>
    <n v="1500"/>
    <n v="560"/>
    <n v="-840000"/>
  </r>
  <r>
    <s v="MANYAVAR"/>
    <x v="21"/>
    <x v="0"/>
    <n v="11"/>
    <n v="345.6"/>
    <n v="3801.6000000000004"/>
  </r>
  <r>
    <s v="MANYAVAR"/>
    <x v="21"/>
    <x v="0"/>
    <n v="21"/>
    <n v="345.55"/>
    <n v="7256.55"/>
  </r>
  <r>
    <s v="MANYAVAR"/>
    <x v="21"/>
    <x v="0"/>
    <n v="28"/>
    <n v="345.6"/>
    <n v="9676.8000000000011"/>
  </r>
  <r>
    <s v="MANYAVAR"/>
    <x v="21"/>
    <x v="0"/>
    <n v="3"/>
    <n v="345.55"/>
    <n v="1036.6500000000001"/>
  </r>
  <r>
    <s v="MANYAVAR"/>
    <x v="21"/>
    <x v="0"/>
    <n v="36"/>
    <n v="345.45"/>
    <n v="12436.199999999999"/>
  </r>
  <r>
    <s v="MANYAVAR"/>
    <x v="21"/>
    <x v="0"/>
    <n v="57"/>
    <n v="345.45"/>
    <n v="19690.649999999998"/>
  </r>
  <r>
    <s v="INFY"/>
    <x v="22"/>
    <x v="0"/>
    <n v="250"/>
    <n v="1253"/>
    <n v="313250"/>
  </r>
  <r>
    <s v="INFY"/>
    <x v="22"/>
    <x v="0"/>
    <n v="3"/>
    <n v="1253.05"/>
    <n v="3759.1499999999996"/>
  </r>
  <r>
    <s v="INFY"/>
    <x v="22"/>
    <x v="0"/>
    <n v="5"/>
    <n v="1253"/>
    <n v="6265"/>
  </r>
  <r>
    <s v="ROUTE"/>
    <x v="22"/>
    <x v="0"/>
    <n v="288"/>
    <n v="482"/>
    <n v="138816"/>
  </r>
  <r>
    <s v="BRITANNIA"/>
    <x v="23"/>
    <x v="1"/>
    <n v="14"/>
    <n v="5546.5"/>
    <n v="-77651"/>
  </r>
  <r>
    <s v="BRITANNIA"/>
    <x v="23"/>
    <x v="1"/>
    <n v="2"/>
    <n v="5547"/>
    <n v="-11094"/>
  </r>
  <r>
    <s v="BRITANNIA"/>
    <x v="23"/>
    <x v="1"/>
    <n v="4"/>
    <n v="5545.5"/>
    <n v="-22182"/>
  </r>
  <r>
    <s v="BRITANNIA"/>
    <x v="23"/>
    <x v="1"/>
    <n v="6"/>
    <n v="5545.5"/>
    <n v="-33273"/>
  </r>
  <r>
    <s v="BRITANNIA"/>
    <x v="23"/>
    <x v="1"/>
    <n v="7"/>
    <n v="5546"/>
    <n v="-38822"/>
  </r>
  <r>
    <s v="BRITANNIA"/>
    <x v="23"/>
    <x v="1"/>
    <n v="7"/>
    <n v="5546.5"/>
    <n v="-38825.5"/>
  </r>
  <r>
    <s v="INNOVISION"/>
    <x v="23"/>
    <x v="0"/>
    <n v="200"/>
    <n v="411"/>
    <n v="82200"/>
  </r>
  <r>
    <s v="INNOVISION"/>
    <x v="23"/>
    <x v="0"/>
    <n v="25"/>
    <n v="411"/>
    <n v="10275"/>
  </r>
  <r>
    <s v="INNOVISION"/>
    <x v="23"/>
    <x v="0"/>
    <n v="29"/>
    <n v="411"/>
    <n v="11919"/>
  </r>
  <r>
    <s v="INNOVISION"/>
    <x v="23"/>
    <x v="0"/>
    <n v="50"/>
    <n v="411"/>
    <n v="20550"/>
  </r>
  <r>
    <s v="INNOVISION"/>
    <x v="23"/>
    <x v="0"/>
    <n v="5"/>
    <n v="411"/>
    <n v="2055"/>
  </r>
  <r>
    <s v="INNOVISION"/>
    <x v="23"/>
    <x v="0"/>
    <n v="69"/>
    <n v="411"/>
    <n v="28359"/>
  </r>
  <r>
    <s v="TCI"/>
    <x v="23"/>
    <x v="1"/>
    <n v="222"/>
    <n v="902"/>
    <n v="-200244"/>
  </r>
  <r>
    <s v="HAVELLS"/>
    <x v="23"/>
    <x v="1"/>
    <n v="166"/>
    <n v="1219"/>
    <n v="-202354"/>
  </r>
  <r>
    <s v="COALINDIA"/>
    <x v="24"/>
    <x v="1"/>
    <n v="1"/>
    <n v="442.2"/>
    <n v="-442.2"/>
  </r>
  <r>
    <s v="COALINDIA"/>
    <x v="24"/>
    <x v="1"/>
    <n v="17"/>
    <n v="442.2"/>
    <n v="-7517.4"/>
  </r>
  <r>
    <s v="COALINDIA"/>
    <x v="24"/>
    <x v="1"/>
    <n v="175"/>
    <n v="442.2"/>
    <n v="-77385"/>
  </r>
  <r>
    <s v="COALINDIA"/>
    <x v="24"/>
    <x v="1"/>
    <n v="19"/>
    <n v="442.2"/>
    <n v="-8401.7999999999993"/>
  </r>
  <r>
    <s v="COALINDIA"/>
    <x v="24"/>
    <x v="1"/>
    <n v="3"/>
    <n v="442.2"/>
    <n v="-1326.6"/>
  </r>
  <r>
    <s v="COALINDIA"/>
    <x v="24"/>
    <x v="1"/>
    <n v="3"/>
    <n v="442.2"/>
    <n v="-1326.6"/>
  </r>
  <r>
    <s v="COALINDIA"/>
    <x v="24"/>
    <x v="1"/>
    <n v="47"/>
    <n v="442.2"/>
    <n v="-20783.399999999998"/>
  </r>
  <r>
    <s v="COALINDIA"/>
    <x v="24"/>
    <x v="1"/>
    <n v="478"/>
    <n v="442.2"/>
    <n v="-211371.6"/>
  </r>
  <r>
    <s v="COALINDIA"/>
    <x v="24"/>
    <x v="1"/>
    <n v="75"/>
    <n v="442.2"/>
    <n v="-33165"/>
  </r>
  <r>
    <s v="COALINDIA"/>
    <x v="24"/>
    <x v="1"/>
    <n v="82"/>
    <n v="442.2"/>
    <n v="-36260.400000000001"/>
  </r>
  <r>
    <s v="COALINDIA"/>
    <x v="24"/>
    <x v="1"/>
    <n v="99"/>
    <n v="442.2"/>
    <n v="-43777.799999999996"/>
  </r>
  <r>
    <s v="JNKINDIA"/>
    <x v="25"/>
    <x v="0"/>
    <n v="1"/>
    <n v="221.5"/>
    <n v="221.5"/>
  </r>
  <r>
    <s v="JNKINDIA"/>
    <x v="25"/>
    <x v="0"/>
    <n v="1"/>
    <n v="221.5"/>
    <n v="221.5"/>
  </r>
  <r>
    <s v="JNKINDIA"/>
    <x v="25"/>
    <x v="0"/>
    <n v="1"/>
    <n v="221.5"/>
    <n v="221.5"/>
  </r>
  <r>
    <s v="JNKINDIA"/>
    <x v="25"/>
    <x v="0"/>
    <n v="1"/>
    <n v="221.5"/>
    <n v="221.5"/>
  </r>
  <r>
    <s v="JNKINDIA"/>
    <x v="25"/>
    <x v="0"/>
    <n v="1"/>
    <n v="221.5"/>
    <n v="221.5"/>
  </r>
  <r>
    <s v="JNKINDIA"/>
    <x v="25"/>
    <x v="0"/>
    <n v="300"/>
    <n v="221.5"/>
    <n v="66450"/>
  </r>
  <r>
    <s v="JNKINDIA"/>
    <x v="25"/>
    <x v="0"/>
    <n v="5"/>
    <n v="221.5"/>
    <n v="1107.5"/>
  </r>
  <r>
    <s v="JNKINDIA"/>
    <x v="25"/>
    <x v="0"/>
    <n v="90"/>
    <n v="221.5"/>
    <n v="19935"/>
  </r>
  <r>
    <s v="BDL"/>
    <x v="25"/>
    <x v="0"/>
    <n v="10"/>
    <n v="1152.05"/>
    <n v="11520.5"/>
  </r>
  <r>
    <s v="BDL"/>
    <x v="25"/>
    <x v="0"/>
    <n v="114"/>
    <n v="1151.95"/>
    <n v="131322.30000000002"/>
  </r>
  <r>
    <s v="BDL"/>
    <x v="25"/>
    <x v="0"/>
    <n v="17"/>
    <n v="1152.25"/>
    <n v="19588.25"/>
  </r>
  <r>
    <s v="BDL"/>
    <x v="25"/>
    <x v="0"/>
    <n v="337"/>
    <n v="1152"/>
    <n v="388224"/>
  </r>
  <r>
    <s v="BDL"/>
    <x v="25"/>
    <x v="0"/>
    <n v="4"/>
    <n v="1152.5"/>
    <n v="4610"/>
  </r>
  <r>
    <s v="BDL"/>
    <x v="25"/>
    <x v="0"/>
    <n v="52"/>
    <n v="1152.2"/>
    <n v="59914.400000000001"/>
  </r>
  <r>
    <s v="BDL"/>
    <x v="25"/>
    <x v="0"/>
    <n v="6"/>
    <n v="1152.0999999999999"/>
    <n v="6912.5999999999995"/>
  </r>
  <r>
    <s v="BDL"/>
    <x v="25"/>
    <x v="0"/>
    <n v="87"/>
    <n v="1152.4000000000001"/>
    <n v="100258.8"/>
  </r>
  <r>
    <s v="BDL"/>
    <x v="25"/>
    <x v="1"/>
    <n v="627"/>
    <n v="1152.4000000000001"/>
    <n v="-722554.8"/>
  </r>
  <r>
    <s v="CAMS"/>
    <x v="25"/>
    <x v="0"/>
    <n v="12"/>
    <n v="643.15"/>
    <n v="7717.7999999999993"/>
  </r>
  <r>
    <s v="CAMS"/>
    <x v="25"/>
    <x v="0"/>
    <n v="266"/>
    <n v="643"/>
    <n v="171038"/>
  </r>
  <r>
    <s v="NAUKRI"/>
    <x v="25"/>
    <x v="0"/>
    <n v="19"/>
    <n v="1004"/>
    <n v="19076"/>
  </r>
  <r>
    <s v="NAUKRI"/>
    <x v="25"/>
    <x v="0"/>
    <n v="32"/>
    <n v="1004"/>
    <n v="32128"/>
  </r>
  <r>
    <s v="CHOLAHLDNG"/>
    <x v="25"/>
    <x v="0"/>
    <n v="1"/>
    <n v="1378.1"/>
    <n v="1378.1"/>
  </r>
  <r>
    <s v="CHOLAHLDNG"/>
    <x v="25"/>
    <x v="0"/>
    <n v="1"/>
    <n v="1378.2"/>
    <n v="1378.2"/>
  </r>
  <r>
    <s v="CHOLAHLDNG"/>
    <x v="25"/>
    <x v="0"/>
    <n v="1"/>
    <n v="1378.5"/>
    <n v="1378.5"/>
  </r>
  <r>
    <s v="CHOLAHLDNG"/>
    <x v="25"/>
    <x v="0"/>
    <n v="1"/>
    <n v="1378.6"/>
    <n v="1378.6"/>
  </r>
  <r>
    <s v="CHOLAHLDNG"/>
    <x v="25"/>
    <x v="0"/>
    <n v="1"/>
    <n v="1378.6"/>
    <n v="1378.6"/>
  </r>
  <r>
    <s v="CHOLAHLDNG"/>
    <x v="25"/>
    <x v="0"/>
    <n v="1"/>
    <n v="1378.6"/>
    <n v="1378.6"/>
  </r>
  <r>
    <s v="CHOLAHLDNG"/>
    <x v="25"/>
    <x v="0"/>
    <n v="1"/>
    <n v="1378.7"/>
    <n v="1378.7"/>
  </r>
  <r>
    <s v="CHOLAHLDNG"/>
    <x v="25"/>
    <x v="0"/>
    <n v="18"/>
    <n v="1378.2"/>
    <n v="24807.600000000002"/>
  </r>
  <r>
    <s v="CHOLAHLDNG"/>
    <x v="25"/>
    <x v="0"/>
    <n v="2"/>
    <n v="1378.1"/>
    <n v="2756.2"/>
  </r>
  <r>
    <s v="CHOLAHLDNG"/>
    <x v="25"/>
    <x v="0"/>
    <n v="2"/>
    <n v="1378.2"/>
    <n v="2756.4"/>
  </r>
  <r>
    <s v="CHOLAHLDNG"/>
    <x v="25"/>
    <x v="0"/>
    <n v="2"/>
    <n v="1378.4"/>
    <n v="2756.8"/>
  </r>
  <r>
    <s v="CHOLAHLDNG"/>
    <x v="25"/>
    <x v="0"/>
    <n v="2"/>
    <n v="1378.5"/>
    <n v="2757"/>
  </r>
  <r>
    <s v="CHOLAHLDNG"/>
    <x v="25"/>
    <x v="0"/>
    <n v="2"/>
    <n v="1378.6"/>
    <n v="2757.2"/>
  </r>
  <r>
    <s v="CHOLAHLDNG"/>
    <x v="25"/>
    <x v="0"/>
    <n v="3"/>
    <n v="1378.1"/>
    <n v="4134.2999999999993"/>
  </r>
  <r>
    <s v="CHOLAHLDNG"/>
    <x v="25"/>
    <x v="0"/>
    <n v="3"/>
    <n v="1378.2"/>
    <n v="4134.6000000000004"/>
  </r>
  <r>
    <s v="CHOLAHLDNG"/>
    <x v="25"/>
    <x v="0"/>
    <n v="4"/>
    <n v="1378.4"/>
    <n v="5513.6"/>
  </r>
  <r>
    <s v="CHOLAHLDNG"/>
    <x v="25"/>
    <x v="0"/>
    <n v="5"/>
    <n v="1378.2"/>
    <n v="6891"/>
  </r>
  <r>
    <s v="CHOLAHLDNG"/>
    <x v="25"/>
    <x v="0"/>
    <n v="5"/>
    <n v="1378.5"/>
    <n v="6892.5"/>
  </r>
  <r>
    <s v="CHOLAHLDNG"/>
    <x v="25"/>
    <x v="0"/>
    <n v="6"/>
    <n v="1378.2"/>
    <n v="8269.2000000000007"/>
  </r>
  <r>
    <s v="CHOLAHLDNG"/>
    <x v="25"/>
    <x v="0"/>
    <n v="7"/>
    <n v="1378.2"/>
    <n v="9647.4"/>
  </r>
  <r>
    <s v="CHOLAHLDNG"/>
    <x v="25"/>
    <x v="0"/>
    <n v="7"/>
    <n v="1378.7"/>
    <n v="9650.9"/>
  </r>
  <r>
    <s v="CHOLAHLDNG"/>
    <x v="25"/>
    <x v="0"/>
    <n v="8"/>
    <n v="1378.3"/>
    <n v="11026.4"/>
  </r>
  <r>
    <s v="CHOLAHLDNG"/>
    <x v="25"/>
    <x v="0"/>
    <n v="8"/>
    <n v="1378.5"/>
    <n v="11028"/>
  </r>
  <r>
    <s v="CHOLAHLDNG"/>
    <x v="25"/>
    <x v="0"/>
    <n v="9"/>
    <n v="1378.6"/>
    <n v="12407.4"/>
  </r>
  <r>
    <s v="VGUARD"/>
    <x v="25"/>
    <x v="1"/>
    <n v="666"/>
    <n v="310"/>
    <n v="-206460"/>
  </r>
  <r>
    <s v="CAMS"/>
    <x v="25"/>
    <x v="1"/>
    <n v="119"/>
    <n v="638.95000000000005"/>
    <n v="-76035.05"/>
  </r>
  <r>
    <s v="CAMS"/>
    <x v="25"/>
    <x v="1"/>
    <n v="43"/>
    <n v="638.95000000000005"/>
    <n v="-27474.850000000002"/>
  </r>
  <r>
    <s v="CAMS"/>
    <x v="25"/>
    <x v="1"/>
    <n v="45"/>
    <n v="639"/>
    <n v="-28755"/>
  </r>
  <r>
    <s v="CAMS"/>
    <x v="25"/>
    <x v="1"/>
    <n v="71"/>
    <n v="638.95000000000005"/>
    <n v="-45365.450000000004"/>
  </r>
  <r>
    <s v="YESBANK"/>
    <x v="25"/>
    <x v="0"/>
    <n v="25400"/>
    <n v="18.100000000000001"/>
    <n v="459740.00000000006"/>
  </r>
  <r>
    <s v="SHAKTIPUMP"/>
    <x v="25"/>
    <x v="0"/>
    <n v="313"/>
    <n v="483"/>
    <n v="151179"/>
  </r>
  <r>
    <s v="NAUKRI"/>
    <x v="25"/>
    <x v="1"/>
    <n v="190"/>
    <n v="987"/>
    <n v="-187530"/>
  </r>
  <r>
    <s v="GUJGASLTD"/>
    <x v="26"/>
    <x v="1"/>
    <n v="110"/>
    <n v="311.45"/>
    <n v="-34259.5"/>
  </r>
  <r>
    <s v="GUJGASLTD"/>
    <x v="26"/>
    <x v="1"/>
    <n v="122"/>
    <n v="311.5"/>
    <n v="-38003"/>
  </r>
  <r>
    <s v="GUJGASLTD"/>
    <x v="26"/>
    <x v="1"/>
    <n v="3"/>
    <n v="311.55"/>
    <n v="-934.65000000000009"/>
  </r>
  <r>
    <s v="CHOLAHLDNG"/>
    <x v="26"/>
    <x v="1"/>
    <n v="1"/>
    <n v="1367.9"/>
    <n v="-1367.9"/>
  </r>
  <r>
    <s v="CHOLAHLDNG"/>
    <x v="26"/>
    <x v="1"/>
    <n v="27"/>
    <n v="1368"/>
    <n v="-36936"/>
  </r>
  <r>
    <s v="CHOLAHLDNG"/>
    <x v="26"/>
    <x v="1"/>
    <n v="72"/>
    <n v="1368"/>
    <n v="-98496"/>
  </r>
  <r>
    <s v="KOLTEPATIL"/>
    <x v="26"/>
    <x v="1"/>
    <n v="220"/>
    <n v="313"/>
    <n v="-68860"/>
  </r>
  <r>
    <s v="JNKINDIA"/>
    <x v="26"/>
    <x v="1"/>
    <n v="122"/>
    <n v="209.99"/>
    <n v="-25618.780000000002"/>
  </r>
  <r>
    <s v="JNKINDIA"/>
    <x v="26"/>
    <x v="1"/>
    <n v="175"/>
    <n v="210"/>
    <n v="-36750"/>
  </r>
  <r>
    <s v="JNKINDIA"/>
    <x v="26"/>
    <x v="1"/>
    <n v="22"/>
    <n v="209.99"/>
    <n v="-4619.7800000000007"/>
  </r>
  <r>
    <s v="JNKINDIA"/>
    <x v="26"/>
    <x v="1"/>
    <n v="81"/>
    <n v="209.99"/>
    <n v="-17009.190000000002"/>
  </r>
  <r>
    <s v="BDL"/>
    <x v="26"/>
    <x v="1"/>
    <n v="627"/>
    <n v="1107"/>
    <n v="-694089"/>
  </r>
  <r>
    <s v="BDL"/>
    <x v="26"/>
    <x v="0"/>
    <n v="101"/>
    <n v="1107"/>
    <n v="111807"/>
  </r>
  <r>
    <s v="BDL"/>
    <x v="26"/>
    <x v="0"/>
    <n v="451"/>
    <n v="1107"/>
    <n v="499257"/>
  </r>
  <r>
    <s v="BDL"/>
    <x v="26"/>
    <x v="0"/>
    <n v="75"/>
    <n v="1107"/>
    <n v="83025"/>
  </r>
  <r>
    <s v="HAL"/>
    <x v="26"/>
    <x v="0"/>
    <n v="7"/>
    <n v="3519"/>
    <n v="24633"/>
  </r>
  <r>
    <s v="HAL"/>
    <x v="26"/>
    <x v="0"/>
    <n v="13"/>
    <n v="3518.8998999999999"/>
    <n v="45745.698700000001"/>
  </r>
  <r>
    <s v="HAL"/>
    <x v="26"/>
    <x v="0"/>
    <n v="14"/>
    <n v="3518.7"/>
    <n v="49261.799999999996"/>
  </r>
  <r>
    <s v="HAL"/>
    <x v="26"/>
    <x v="0"/>
    <n v="15"/>
    <n v="3518.7"/>
    <n v="52780.5"/>
  </r>
  <r>
    <s v="HAL"/>
    <x v="26"/>
    <x v="0"/>
    <n v="15"/>
    <n v="3518.7"/>
    <n v="52780.5"/>
  </r>
  <r>
    <s v="HAL"/>
    <x v="26"/>
    <x v="0"/>
    <n v="24"/>
    <n v="3518.7"/>
    <n v="84448.799999999988"/>
  </r>
  <r>
    <s v="HAL"/>
    <x v="26"/>
    <x v="0"/>
    <n v="30"/>
    <n v="3519.1001000000001"/>
    <n v="105573.003"/>
  </r>
  <r>
    <s v="HAL"/>
    <x v="26"/>
    <x v="0"/>
    <n v="51"/>
    <n v="3518.7"/>
    <n v="179453.69999999998"/>
  </r>
  <r>
    <s v="HAL"/>
    <x v="26"/>
    <x v="0"/>
    <n v="5"/>
    <n v="3518.7"/>
    <n v="17593.5"/>
  </r>
  <r>
    <s v="HAL"/>
    <x v="26"/>
    <x v="0"/>
    <n v="5"/>
    <n v="3518.8"/>
    <n v="17594"/>
  </r>
  <r>
    <s v="HAL"/>
    <x v="26"/>
    <x v="0"/>
    <n v="6"/>
    <n v="3519"/>
    <n v="21114"/>
  </r>
  <r>
    <s v="HAL"/>
    <x v="26"/>
    <x v="0"/>
    <n v="7"/>
    <n v="3519"/>
    <n v="24633"/>
  </r>
  <r>
    <s v="HAL"/>
    <x v="26"/>
    <x v="0"/>
    <n v="11"/>
    <n v="3518.7"/>
    <n v="38705.699999999997"/>
  </r>
  <r>
    <s v="HAL"/>
    <x v="26"/>
    <x v="0"/>
    <n v="9"/>
    <n v="3518.7"/>
    <n v="31668.3"/>
  </r>
  <r>
    <s v="HAL"/>
    <x v="26"/>
    <x v="0"/>
    <n v="9"/>
    <n v="3519.1001000000001"/>
    <n v="31671.900900000001"/>
  </r>
  <r>
    <s v="HAL"/>
    <x v="26"/>
    <x v="0"/>
    <n v="9"/>
    <n v="3519.1001000000001"/>
    <n v="31671.900900000001"/>
  </r>
  <r>
    <s v="HAL"/>
    <x v="26"/>
    <x v="1"/>
    <n v="178"/>
    <n v="3502.8998999999999"/>
    <n v="-623516.18219999992"/>
  </r>
  <r>
    <s v="HAL"/>
    <x v="26"/>
    <x v="1"/>
    <n v="4"/>
    <n v="3503"/>
    <n v="-14012"/>
  </r>
  <r>
    <s v="HAL"/>
    <x v="26"/>
    <x v="1"/>
    <n v="48"/>
    <n v="3503"/>
    <n v="-168144"/>
  </r>
  <r>
    <s v="SOBHA"/>
    <x v="26"/>
    <x v="1"/>
    <n v="30"/>
    <n v="1200"/>
    <n v="-36000"/>
  </r>
  <r>
    <s v="SOBHA"/>
    <x v="26"/>
    <x v="1"/>
    <n v="192"/>
    <n v="1200"/>
    <n v="-230400"/>
  </r>
  <r>
    <s v="SOBHA"/>
    <x v="26"/>
    <x v="1"/>
    <n v="5"/>
    <n v="1200"/>
    <n v="-6000"/>
  </r>
  <r>
    <s v="SOBHA"/>
    <x v="26"/>
    <x v="1"/>
    <n v="5"/>
    <n v="1200"/>
    <n v="-6000"/>
  </r>
  <r>
    <s v="SOBHA"/>
    <x v="26"/>
    <x v="1"/>
    <n v="8"/>
    <n v="1200"/>
    <n v="-9600"/>
  </r>
  <r>
    <s v="SOBHA"/>
    <x v="26"/>
    <x v="1"/>
    <n v="8"/>
    <n v="1200"/>
    <n v="-9600"/>
  </r>
  <r>
    <s v="SOBHA"/>
    <x v="26"/>
    <x v="1"/>
    <n v="9"/>
    <n v="1200"/>
    <n v="-10800"/>
  </r>
  <r>
    <s v="SOBHA"/>
    <x v="26"/>
    <x v="1"/>
    <n v="9"/>
    <n v="1200"/>
    <n v="-10800"/>
  </r>
  <r>
    <s v="SOBHA"/>
    <x v="26"/>
    <x v="1"/>
    <n v="9"/>
    <n v="1200"/>
    <n v="-10800"/>
  </r>
  <r>
    <s v="UTKARSHBNK"/>
    <x v="26"/>
    <x v="1"/>
    <n v="10320"/>
    <n v="10.3"/>
    <n v="-106296.00000000001"/>
  </r>
  <r>
    <s v="UTKARSHBNK"/>
    <x v="26"/>
    <x v="1"/>
    <n v="4680"/>
    <n v="10.3"/>
    <n v="-48204"/>
  </r>
  <r>
    <s v="TMPV"/>
    <x v="26"/>
    <x v="1"/>
    <n v="800"/>
    <n v="295"/>
    <n v="-236000"/>
  </r>
  <r>
    <s v="JKIL"/>
    <x v="26"/>
    <x v="1"/>
    <n v="1"/>
    <n v="428.6"/>
    <n v="-428.6"/>
  </r>
  <r>
    <s v="JKIL"/>
    <x v="26"/>
    <x v="1"/>
    <n v="1"/>
    <n v="428.6"/>
    <n v="-428.6"/>
  </r>
  <r>
    <s v="JKIL"/>
    <x v="26"/>
    <x v="1"/>
    <n v="1"/>
    <n v="428.6"/>
    <n v="-428.6"/>
  </r>
  <r>
    <s v="JKIL"/>
    <x v="26"/>
    <x v="1"/>
    <n v="1"/>
    <n v="428.6"/>
    <n v="-428.6"/>
  </r>
  <r>
    <s v="JKIL"/>
    <x v="26"/>
    <x v="1"/>
    <n v="14"/>
    <n v="428.6"/>
    <n v="-6000.4000000000005"/>
  </r>
  <r>
    <s v="JKIL"/>
    <x v="26"/>
    <x v="1"/>
    <n v="82"/>
    <n v="428.6"/>
    <n v="-35145.200000000004"/>
  </r>
  <r>
    <s v="BNRSEC"/>
    <x v="26"/>
    <x v="1"/>
    <n v="465"/>
    <n v="12"/>
    <n v="-5580"/>
  </r>
  <r>
    <s v="BNRSEC"/>
    <x v="26"/>
    <x v="1"/>
    <n v="835"/>
    <n v="11.5"/>
    <n v="-9602.5"/>
  </r>
  <r>
    <s v="SOBHA"/>
    <x v="26"/>
    <x v="1"/>
    <n v="175"/>
    <n v="1180"/>
    <n v="-206500"/>
  </r>
  <r>
    <s v="INFOBEAN"/>
    <x v="27"/>
    <x v="0"/>
    <n v="32"/>
    <n v="515"/>
    <n v="16480"/>
  </r>
  <r>
    <s v="PNBHOUSING"/>
    <x v="27"/>
    <x v="0"/>
    <n v="20"/>
    <n v="452"/>
    <n v="9040"/>
  </r>
  <r>
    <s v="EMAMIPAP"/>
    <x v="27"/>
    <x v="1"/>
    <n v="40"/>
    <n v="116"/>
    <n v="-4640"/>
  </r>
  <r>
    <s v="JAIBALAJI"/>
    <x v="28"/>
    <x v="0"/>
    <n v="144"/>
    <n v="51"/>
    <n v="7344"/>
  </r>
  <r>
    <s v="JAIBALAJI"/>
    <x v="28"/>
    <x v="0"/>
    <n v="7"/>
    <n v="51.04"/>
    <n v="357.28"/>
  </r>
  <r>
    <s v="JAIBALAJI"/>
    <x v="28"/>
    <x v="0"/>
    <n v="36"/>
    <n v="51"/>
    <n v="1836"/>
  </r>
  <r>
    <s v="JAIBALAJI"/>
    <x v="28"/>
    <x v="0"/>
    <n v="1"/>
    <n v="51"/>
    <n v="51"/>
  </r>
  <r>
    <s v="SRPL"/>
    <x v="29"/>
    <x v="0"/>
    <n v="1"/>
    <n v="52.8"/>
    <n v="52.8"/>
  </r>
  <r>
    <s v="SRPL"/>
    <x v="29"/>
    <x v="0"/>
    <n v="194"/>
    <n v="53.05"/>
    <n v="10291.699999999999"/>
  </r>
  <r>
    <s v="SRPL"/>
    <x v="29"/>
    <x v="0"/>
    <n v="1"/>
    <n v="53"/>
    <n v="53"/>
  </r>
  <r>
    <s v="SRPL"/>
    <x v="29"/>
    <x v="0"/>
    <n v="1"/>
    <n v="52.9"/>
    <n v="52.9"/>
  </r>
  <r>
    <s v="SRPL"/>
    <x v="29"/>
    <x v="0"/>
    <n v="1"/>
    <n v="52.8"/>
    <n v="52.8"/>
  </r>
  <r>
    <s v="SRPL"/>
    <x v="29"/>
    <x v="0"/>
    <n v="1"/>
    <n v="52.7"/>
    <n v="52.7"/>
  </r>
  <r>
    <s v="SRPL"/>
    <x v="29"/>
    <x v="0"/>
    <n v="1"/>
    <n v="52.65"/>
    <n v="52.65"/>
  </r>
  <r>
    <s v="MOS"/>
    <x v="30"/>
    <x v="0"/>
    <n v="1600"/>
    <n v="90.8"/>
    <n v="145280"/>
  </r>
  <r>
    <s v="NCC"/>
    <x v="31"/>
    <x v="0"/>
    <n v="100"/>
    <n v="111"/>
    <n v="11100"/>
  </r>
  <r>
    <s v="NCC"/>
    <x v="31"/>
    <x v="0"/>
    <n v="100"/>
    <n v="111"/>
    <n v="11100"/>
  </r>
  <r>
    <s v="NCC"/>
    <x v="31"/>
    <x v="0"/>
    <n v="210"/>
    <n v="111"/>
    <n v="23310"/>
  </r>
  <r>
    <s v="ARVSMART"/>
    <x v="31"/>
    <x v="0"/>
    <n v="2"/>
    <n v="317.95"/>
    <n v="635.9"/>
  </r>
  <r>
    <s v="ARVSMART"/>
    <x v="31"/>
    <x v="0"/>
    <n v="2"/>
    <n v="317.95"/>
    <n v="635.9"/>
  </r>
  <r>
    <s v="ARVSMART"/>
    <x v="31"/>
    <x v="0"/>
    <n v="2"/>
    <n v="317.95"/>
    <n v="635.9"/>
  </r>
  <r>
    <s v="ARVSMART"/>
    <x v="31"/>
    <x v="0"/>
    <n v="2"/>
    <n v="317.95"/>
    <n v="635.9"/>
  </r>
  <r>
    <s v="ARVSMART"/>
    <x v="31"/>
    <x v="0"/>
    <n v="1"/>
    <n v="317.95"/>
    <n v="317.95"/>
  </r>
  <r>
    <s v="ARVSMART"/>
    <x v="31"/>
    <x v="0"/>
    <n v="1"/>
    <n v="317.95"/>
    <n v="317.95"/>
  </r>
  <r>
    <s v="ARVSMART"/>
    <x v="31"/>
    <x v="0"/>
    <n v="2"/>
    <n v="317.95"/>
    <n v="635.9"/>
  </r>
  <r>
    <s v="ARVSMART"/>
    <x v="31"/>
    <x v="0"/>
    <n v="2"/>
    <n v="317.95"/>
    <n v="635.9"/>
  </r>
  <r>
    <s v="ARVSMART"/>
    <x v="31"/>
    <x v="0"/>
    <n v="23"/>
    <n v="317.95"/>
    <n v="7312.8499999999995"/>
  </r>
  <r>
    <s v="ARVSMART"/>
    <x v="31"/>
    <x v="0"/>
    <n v="2"/>
    <n v="317.95"/>
    <n v="635.9"/>
  </r>
  <r>
    <s v="ARVSMART"/>
    <x v="31"/>
    <x v="0"/>
    <n v="1"/>
    <n v="317.95"/>
    <n v="317.95"/>
  </r>
  <r>
    <s v="ARVSMART"/>
    <x v="31"/>
    <x v="0"/>
    <n v="2"/>
    <n v="317.95"/>
    <n v="635.9"/>
  </r>
  <r>
    <s v="PNB-RE"/>
    <x v="32"/>
    <x v="0"/>
    <n v="10"/>
    <n v="130"/>
    <n v="1300"/>
  </r>
  <r>
    <s v="ORICON"/>
    <x v="33"/>
    <x v="0"/>
    <n v="50"/>
    <n v="20.5"/>
    <n v="1025"/>
  </r>
  <r>
    <s v="ORICON"/>
    <x v="33"/>
    <x v="0"/>
    <n v="20"/>
    <n v="20.5"/>
    <n v="410"/>
  </r>
  <r>
    <s v="ORICON"/>
    <x v="33"/>
    <x v="0"/>
    <n v="50"/>
    <n v="20.5"/>
    <n v="1025"/>
  </r>
  <r>
    <s v="ORICON"/>
    <x v="33"/>
    <x v="0"/>
    <n v="25"/>
    <n v="20.5"/>
    <n v="512.5"/>
  </r>
  <r>
    <s v="ORICON"/>
    <x v="33"/>
    <x v="0"/>
    <n v="185"/>
    <n v="20.5"/>
    <n v="3792.5"/>
  </r>
  <r>
    <s v="ORICON"/>
    <x v="33"/>
    <x v="0"/>
    <n v="25"/>
    <n v="20.5"/>
    <n v="512.5"/>
  </r>
  <r>
    <s v="ORICON"/>
    <x v="33"/>
    <x v="0"/>
    <n v="2"/>
    <n v="20.5"/>
    <n v="41"/>
  </r>
  <r>
    <s v="ORICON"/>
    <x v="33"/>
    <x v="0"/>
    <n v="2"/>
    <n v="20.5"/>
    <n v="41"/>
  </r>
  <r>
    <s v="ORICON"/>
    <x v="33"/>
    <x v="0"/>
    <n v="2"/>
    <n v="20.5"/>
    <n v="41"/>
  </r>
  <r>
    <s v="ORICON"/>
    <x v="33"/>
    <x v="0"/>
    <n v="2"/>
    <n v="20.5"/>
    <n v="41"/>
  </r>
  <r>
    <s v="ORICON"/>
    <x v="33"/>
    <x v="0"/>
    <n v="6"/>
    <n v="20.5"/>
    <n v="123"/>
  </r>
  <r>
    <s v="ORICON"/>
    <x v="33"/>
    <x v="0"/>
    <n v="50"/>
    <n v="20.5"/>
    <n v="1025"/>
  </r>
  <r>
    <s v="ORICON"/>
    <x v="33"/>
    <x v="0"/>
    <n v="1"/>
    <n v="20.5"/>
    <n v="20.5"/>
  </r>
  <r>
    <s v="ORICON"/>
    <x v="33"/>
    <x v="0"/>
    <n v="50"/>
    <n v="20.5"/>
    <n v="1025"/>
  </r>
  <r>
    <s v="ORICON"/>
    <x v="33"/>
    <x v="0"/>
    <n v="2"/>
    <n v="20.5"/>
    <n v="41"/>
  </r>
  <r>
    <s v="ORICON"/>
    <x v="33"/>
    <x v="0"/>
    <n v="2"/>
    <n v="20.5"/>
    <n v="41"/>
  </r>
  <r>
    <s v="ORICON"/>
    <x v="33"/>
    <x v="0"/>
    <n v="1"/>
    <n v="20.5"/>
    <n v="20.5"/>
  </r>
  <r>
    <s v="ORICON"/>
    <x v="33"/>
    <x v="0"/>
    <n v="50"/>
    <n v="20.5"/>
    <n v="1025"/>
  </r>
  <r>
    <s v="ORICON"/>
    <x v="33"/>
    <x v="0"/>
    <n v="45"/>
    <n v="20.5"/>
    <n v="922.5"/>
  </r>
  <r>
    <s v="ORICON"/>
    <x v="33"/>
    <x v="0"/>
    <n v="200"/>
    <n v="20.5"/>
    <n v="4100"/>
  </r>
  <r>
    <s v="ORICON"/>
    <x v="33"/>
    <x v="0"/>
    <n v="10"/>
    <n v="20.5"/>
    <n v="205"/>
  </r>
  <r>
    <s v="ORICON"/>
    <x v="33"/>
    <x v="0"/>
    <n v="100"/>
    <n v="20.5"/>
    <n v="2050"/>
  </r>
  <r>
    <s v="ORICON"/>
    <x v="33"/>
    <x v="0"/>
    <n v="14"/>
    <n v="20.5"/>
    <n v="287"/>
  </r>
  <r>
    <s v="ORICON"/>
    <x v="33"/>
    <x v="0"/>
    <n v="25"/>
    <n v="20.5"/>
    <n v="512.5"/>
  </r>
  <r>
    <s v="ORICON"/>
    <x v="33"/>
    <x v="0"/>
    <n v="2"/>
    <n v="20.5"/>
    <n v="41"/>
  </r>
  <r>
    <s v="RETINA"/>
    <x v="34"/>
    <x v="0"/>
    <n v="4000"/>
    <n v="29"/>
    <n v="116000"/>
  </r>
  <r>
    <s v="FLFL"/>
    <x v="35"/>
    <x v="0"/>
    <n v="30"/>
    <n v="6.35"/>
    <n v="190.5"/>
  </r>
  <r>
    <s v="FLFL"/>
    <x v="35"/>
    <x v="0"/>
    <n v="100"/>
    <n v="6.35"/>
    <n v="635"/>
  </r>
  <r>
    <s v="NMDC"/>
    <x v="36"/>
    <x v="0"/>
    <n v="49"/>
    <n v="107"/>
    <n v="5243"/>
  </r>
  <r>
    <s v="NAVA"/>
    <x v="36"/>
    <x v="1"/>
    <n v="200"/>
    <n v="223"/>
    <n v="-44600"/>
  </r>
  <r>
    <s v="FLFL"/>
    <x v="36"/>
    <x v="0"/>
    <n v="1"/>
    <n v="5.25"/>
    <n v="5.25"/>
  </r>
  <r>
    <s v="FLFL"/>
    <x v="36"/>
    <x v="0"/>
    <n v="1"/>
    <n v="5.25"/>
    <n v="5.25"/>
  </r>
  <r>
    <s v="FLFL"/>
    <x v="36"/>
    <x v="0"/>
    <n v="500"/>
    <n v="5.25"/>
    <n v="2625"/>
  </r>
  <r>
    <s v="FLFL"/>
    <x v="36"/>
    <x v="0"/>
    <n v="1"/>
    <n v="5.25"/>
    <n v="5.25"/>
  </r>
  <r>
    <s v="FLFL"/>
    <x v="36"/>
    <x v="0"/>
    <n v="10"/>
    <n v="5.25"/>
    <n v="52.5"/>
  </r>
  <r>
    <s v="FLFL"/>
    <x v="36"/>
    <x v="0"/>
    <n v="200"/>
    <n v="5.25"/>
    <n v="1050"/>
  </r>
  <r>
    <s v="FLFL"/>
    <x v="36"/>
    <x v="0"/>
    <n v="147"/>
    <n v="5.25"/>
    <n v="771.75"/>
  </r>
  <r>
    <s v="FLFL"/>
    <x v="36"/>
    <x v="0"/>
    <n v="4"/>
    <n v="5.25"/>
    <n v="21"/>
  </r>
  <r>
    <s v="FLFL"/>
    <x v="36"/>
    <x v="0"/>
    <n v="18"/>
    <n v="5.25"/>
    <n v="94.5"/>
  </r>
  <r>
    <s v="FLFL"/>
    <x v="36"/>
    <x v="0"/>
    <n v="100"/>
    <n v="5.25"/>
    <n v="525"/>
  </r>
  <r>
    <s v="FLFL"/>
    <x v="36"/>
    <x v="0"/>
    <n v="784"/>
    <n v="5.25"/>
    <n v="4116"/>
  </r>
  <r>
    <s v="FLFL"/>
    <x v="36"/>
    <x v="0"/>
    <n v="91"/>
    <n v="5.25"/>
    <n v="477.75"/>
  </r>
  <r>
    <s v="FLFL"/>
    <x v="36"/>
    <x v="0"/>
    <n v="1"/>
    <n v="5.25"/>
    <n v="5.25"/>
  </r>
  <r>
    <s v="FLFL"/>
    <x v="36"/>
    <x v="0"/>
    <n v="612"/>
    <n v="5.25"/>
    <n v="3213"/>
  </r>
  <r>
    <s v="MSPL"/>
    <x v="36"/>
    <x v="0"/>
    <n v="526"/>
    <n v="8.75"/>
    <n v="4602.5"/>
  </r>
  <r>
    <s v="KSOLVES"/>
    <x v="36"/>
    <x v="0"/>
    <n v="97"/>
    <n v="730"/>
    <n v="70810"/>
  </r>
  <r>
    <s v="RGL"/>
    <x v="36"/>
    <x v="0"/>
    <n v="224"/>
    <n v="89.8"/>
    <n v="20115.2"/>
  </r>
  <r>
    <s v="JINDALSTEL"/>
    <x v="37"/>
    <x v="1"/>
    <n v="125"/>
    <n v="560"/>
    <n v="-70000"/>
  </r>
  <r>
    <s v="SOUTHBANK"/>
    <x v="38"/>
    <x v="1"/>
    <n v="3000"/>
    <n v="17.149999999999999"/>
    <n v="-51449.999999999993"/>
  </r>
  <r>
    <s v="TATASTEEL"/>
    <x v="39"/>
    <x v="1"/>
    <n v="48"/>
    <n v="105"/>
    <n v="-5040"/>
  </r>
  <r>
    <s v="TATASTEEL"/>
    <x v="39"/>
    <x v="1"/>
    <n v="231"/>
    <n v="105"/>
    <n v="-24255"/>
  </r>
  <r>
    <s v="TATASTEEL"/>
    <x v="39"/>
    <x v="1"/>
    <n v="243"/>
    <n v="105"/>
    <n v="-25515"/>
  </r>
  <r>
    <s v="TATASTEEL"/>
    <x v="39"/>
    <x v="1"/>
    <n v="23"/>
    <n v="105"/>
    <n v="-2415"/>
  </r>
  <r>
    <s v="RBLBANK"/>
    <x v="39"/>
    <x v="1"/>
    <n v="467"/>
    <n v="141"/>
    <n v="-65847"/>
  </r>
  <r>
    <s v="SCI"/>
    <x v="39"/>
    <x v="1"/>
    <n v="275"/>
    <n v="94.5"/>
    <n v="-25987.5"/>
  </r>
  <r>
    <s v="TCI"/>
    <x v="40"/>
    <x v="1"/>
    <n v="142"/>
    <n v="640"/>
    <n v="-90880"/>
  </r>
  <r>
    <s v="NCC"/>
    <x v="41"/>
    <x v="1"/>
    <n v="10"/>
    <n v="109.5"/>
    <n v="-1095"/>
  </r>
  <r>
    <s v="NCC"/>
    <x v="41"/>
    <x v="1"/>
    <n v="8"/>
    <n v="109.5"/>
    <n v="-876"/>
  </r>
  <r>
    <s v="NCC"/>
    <x v="41"/>
    <x v="1"/>
    <n v="318"/>
    <n v="109.5"/>
    <n v="-34821"/>
  </r>
  <r>
    <s v="NCC"/>
    <x v="41"/>
    <x v="1"/>
    <n v="64"/>
    <n v="109.5"/>
    <n v="-7008"/>
  </r>
  <r>
    <s v="AUROIMPEX"/>
    <x v="41"/>
    <x v="0"/>
    <n v="1600"/>
    <n v="75"/>
    <n v="120000"/>
  </r>
  <r>
    <s v="OMAXE"/>
    <x v="41"/>
    <x v="1"/>
    <n v="369"/>
    <n v="51.7"/>
    <n v="-19077.3"/>
  </r>
  <r>
    <s v="OMAXE"/>
    <x v="41"/>
    <x v="1"/>
    <n v="216"/>
    <n v="51.7"/>
    <n v="-11167.2"/>
  </r>
  <r>
    <s v="GLS"/>
    <x v="42"/>
    <x v="0"/>
    <n v="46"/>
    <n v="545"/>
    <n v="25070"/>
  </r>
  <r>
    <s v="GLS"/>
    <x v="42"/>
    <x v="0"/>
    <n v="40"/>
    <n v="545.5"/>
    <n v="21820"/>
  </r>
  <r>
    <s v="GLS"/>
    <x v="42"/>
    <x v="0"/>
    <n v="63"/>
    <n v="545.45000000000005"/>
    <n v="34363.350000000006"/>
  </r>
  <r>
    <s v="GLS"/>
    <x v="42"/>
    <x v="0"/>
    <n v="13"/>
    <n v="545.20000000000005"/>
    <n v="7087.6"/>
  </r>
  <r>
    <s v="GLS"/>
    <x v="42"/>
    <x v="0"/>
    <n v="104"/>
    <n v="545.15"/>
    <n v="56695.6"/>
  </r>
  <r>
    <s v="GLS"/>
    <x v="42"/>
    <x v="0"/>
    <n v="46"/>
    <n v="545.04999999999995"/>
    <n v="25072.3"/>
  </r>
  <r>
    <s v="GLS"/>
    <x v="42"/>
    <x v="0"/>
    <n v="50"/>
    <n v="545"/>
    <n v="27250"/>
  </r>
  <r>
    <s v="GLS"/>
    <x v="42"/>
    <x v="0"/>
    <n v="10"/>
    <n v="545.29999999999995"/>
    <n v="5453"/>
  </r>
  <r>
    <s v="GLS"/>
    <x v="42"/>
    <x v="0"/>
    <n v="222"/>
    <n v="545"/>
    <n v="120990"/>
  </r>
  <r>
    <s v="NSLNISP"/>
    <x v="42"/>
    <x v="0"/>
    <n v="49"/>
    <n v="39.9"/>
    <n v="1955.1"/>
  </r>
  <r>
    <s v="GICRE"/>
    <x v="42"/>
    <x v="1"/>
    <n v="105"/>
    <n v="177"/>
    <n v="-18585"/>
  </r>
  <r>
    <s v="GICRE"/>
    <x v="42"/>
    <x v="1"/>
    <n v="515"/>
    <n v="177"/>
    <n v="-91155"/>
  </r>
  <r>
    <s v="GICRE"/>
    <x v="42"/>
    <x v="1"/>
    <n v="35"/>
    <n v="177"/>
    <n v="-6195"/>
  </r>
  <r>
    <s v="GICRE"/>
    <x v="42"/>
    <x v="1"/>
    <n v="2"/>
    <n v="177"/>
    <n v="-354"/>
  </r>
  <r>
    <s v="GICRE"/>
    <x v="42"/>
    <x v="1"/>
    <n v="33"/>
    <n v="177"/>
    <n v="-5841"/>
  </r>
  <r>
    <s v="GICRE"/>
    <x v="42"/>
    <x v="1"/>
    <n v="51"/>
    <n v="177"/>
    <n v="-9027"/>
  </r>
  <r>
    <s v="NAVA"/>
    <x v="42"/>
    <x v="1"/>
    <n v="10"/>
    <n v="246.85"/>
    <n v="-2468.5"/>
  </r>
  <r>
    <s v="NAVA"/>
    <x v="42"/>
    <x v="1"/>
    <n v="2"/>
    <n v="246.85"/>
    <n v="-493.7"/>
  </r>
  <r>
    <s v="NAVA"/>
    <x v="42"/>
    <x v="1"/>
    <n v="28"/>
    <n v="246.75"/>
    <n v="-6909"/>
  </r>
  <r>
    <s v="NAVA"/>
    <x v="42"/>
    <x v="1"/>
    <n v="27"/>
    <n v="246.8"/>
    <n v="-6663.6"/>
  </r>
  <r>
    <s v="NAVA"/>
    <x v="42"/>
    <x v="1"/>
    <n v="2"/>
    <n v="246.75"/>
    <n v="-493.5"/>
  </r>
  <r>
    <s v="NAVA"/>
    <x v="42"/>
    <x v="1"/>
    <n v="4"/>
    <n v="246.75"/>
    <n v="-987"/>
  </r>
  <r>
    <s v="NAVA"/>
    <x v="42"/>
    <x v="1"/>
    <n v="20"/>
    <n v="246.75"/>
    <n v="-4935"/>
  </r>
  <r>
    <s v="NAVA"/>
    <x v="42"/>
    <x v="1"/>
    <n v="10"/>
    <n v="246.75"/>
    <n v="-2467.5"/>
  </r>
  <r>
    <s v="NAVA"/>
    <x v="42"/>
    <x v="1"/>
    <n v="42"/>
    <n v="246.85"/>
    <n v="-10367.699999999999"/>
  </r>
  <r>
    <s v="NAVA"/>
    <x v="42"/>
    <x v="1"/>
    <n v="20"/>
    <n v="246.85"/>
    <n v="-4937"/>
  </r>
  <r>
    <s v="AGSTRA"/>
    <x v="42"/>
    <x v="0"/>
    <n v="97"/>
    <n v="57"/>
    <n v="5529"/>
  </r>
  <r>
    <s v="MFSL"/>
    <x v="42"/>
    <x v="1"/>
    <n v="23"/>
    <n v="678"/>
    <n v="-15594"/>
  </r>
  <r>
    <s v="MFSL"/>
    <x v="42"/>
    <x v="1"/>
    <n v="30"/>
    <n v="677.9"/>
    <n v="-20337"/>
  </r>
  <r>
    <s v="KALPATPOWR"/>
    <x v="43"/>
    <x v="1"/>
    <n v="80"/>
    <n v="508"/>
    <n v="-40640"/>
  </r>
  <r>
    <s v="PENINLAND"/>
    <x v="44"/>
    <x v="0"/>
    <n v="1000"/>
    <n v="20.51"/>
    <n v="20510"/>
  </r>
  <r>
    <s v="RELHOME"/>
    <x v="44"/>
    <x v="0"/>
    <n v="3424"/>
    <n v="3.19"/>
    <n v="10922.56"/>
  </r>
  <r>
    <s v="PRICOLLTD"/>
    <x v="45"/>
    <x v="0"/>
    <n v="54"/>
    <n v="250.1"/>
    <n v="13505.4"/>
  </r>
  <r>
    <s v="PRICOLLTD"/>
    <x v="45"/>
    <x v="0"/>
    <n v="28"/>
    <n v="250.35"/>
    <n v="7009.8"/>
  </r>
  <r>
    <s v="PRICOLLTD"/>
    <x v="45"/>
    <x v="0"/>
    <n v="28"/>
    <n v="250.35"/>
    <n v="7009.8"/>
  </r>
  <r>
    <s v="PRICOLLTD"/>
    <x v="45"/>
    <x v="0"/>
    <n v="59"/>
    <n v="250.35"/>
    <n v="14770.65"/>
  </r>
  <r>
    <s v="BEDMUTHA"/>
    <x v="45"/>
    <x v="0"/>
    <n v="200"/>
    <n v="59"/>
    <n v="11800"/>
  </r>
  <r>
    <s v="ABCGAS"/>
    <x v="46"/>
    <x v="1"/>
    <n v="150"/>
    <n v="40"/>
    <n v="-6000"/>
  </r>
  <r>
    <s v="ABCGAS"/>
    <x v="46"/>
    <x v="1"/>
    <n v="295"/>
    <n v="40"/>
    <n v="-11800"/>
  </r>
  <r>
    <s v="ANUBHAV"/>
    <x v="47"/>
    <x v="1"/>
    <n v="93"/>
    <n v="13.2"/>
    <n v="-1227.5999999999999"/>
  </r>
  <r>
    <s v="PFS"/>
    <x v="47"/>
    <x v="1"/>
    <n v="53"/>
    <n v="18.5"/>
    <n v="-980.5"/>
  </r>
  <r>
    <s v="PFS"/>
    <x v="47"/>
    <x v="1"/>
    <n v="4947"/>
    <n v="18.5"/>
    <n v="-91519.5"/>
  </r>
  <r>
    <s v="RBLBANK"/>
    <x v="48"/>
    <x v="1"/>
    <n v="400"/>
    <n v="168"/>
    <n v="-67200"/>
  </r>
  <r>
    <s v="ABCGAS"/>
    <x v="49"/>
    <x v="1"/>
    <n v="70"/>
    <n v="37.06"/>
    <n v="-2594.2000000000003"/>
  </r>
  <r>
    <s v="ABCGAS"/>
    <x v="49"/>
    <x v="1"/>
    <n v="20"/>
    <n v="38.200000000000003"/>
    <n v="-764"/>
  </r>
  <r>
    <s v="ABCGAS"/>
    <x v="49"/>
    <x v="1"/>
    <n v="410"/>
    <n v="38.200000000000003"/>
    <n v="-15662.000000000002"/>
  </r>
  <r>
    <s v="BNRSEC"/>
    <x v="50"/>
    <x v="1"/>
    <n v="325"/>
    <n v="39"/>
    <n v="-12675"/>
  </r>
  <r>
    <s v="MFSL"/>
    <x v="51"/>
    <x v="1"/>
    <n v="29"/>
    <n v="736.3"/>
    <n v="-21352.699999999997"/>
  </r>
  <r>
    <s v="MFSL"/>
    <x v="51"/>
    <x v="1"/>
    <n v="19"/>
    <n v="736.3"/>
    <n v="-13989.699999999999"/>
  </r>
  <r>
    <s v="PFS"/>
    <x v="52"/>
    <x v="1"/>
    <n v="50"/>
    <n v="19.75"/>
    <n v="-987.5"/>
  </r>
  <r>
    <s v="PFS"/>
    <x v="52"/>
    <x v="1"/>
    <n v="5181"/>
    <n v="19.75"/>
    <n v="-102324.75"/>
  </r>
  <r>
    <s v="PFS"/>
    <x v="52"/>
    <x v="1"/>
    <n v="453"/>
    <n v="19.75"/>
    <n v="-8946.75"/>
  </r>
  <r>
    <s v="PFS"/>
    <x v="52"/>
    <x v="1"/>
    <n v="434"/>
    <n v="19.75"/>
    <n v="-8571.5"/>
  </r>
  <r>
    <s v="PFS"/>
    <x v="52"/>
    <x v="1"/>
    <n v="50"/>
    <n v="19.75"/>
    <n v="-987.5"/>
  </r>
  <r>
    <s v="PFS"/>
    <x v="52"/>
    <x v="1"/>
    <n v="1064"/>
    <n v="19.739999999999998"/>
    <n v="-21003.359999999997"/>
  </r>
  <r>
    <s v="CESC"/>
    <x v="53"/>
    <x v="0"/>
    <n v="176"/>
    <n v="75.05"/>
    <n v="13208.8"/>
  </r>
  <r>
    <s v="CESC"/>
    <x v="53"/>
    <x v="0"/>
    <n v="9"/>
    <n v="75.05"/>
    <n v="675.44999999999993"/>
  </r>
  <r>
    <s v="TATASTEEL"/>
    <x v="54"/>
    <x v="1"/>
    <n v="550"/>
    <n v="116"/>
    <n v="-63800"/>
  </r>
  <r>
    <s v="RAJKOTINV"/>
    <x v="55"/>
    <x v="1"/>
    <n v="1000"/>
    <n v="49"/>
    <n v="-49000"/>
  </r>
  <r>
    <s v="RAJKOTINV"/>
    <x v="55"/>
    <x v="1"/>
    <n v="4"/>
    <n v="49"/>
    <n v="-196"/>
  </r>
  <r>
    <s v="AXISBANK"/>
    <x v="56"/>
    <x v="1"/>
    <n v="3"/>
    <n v="948.5"/>
    <n v="-2845.5"/>
  </r>
  <r>
    <s v="AXISBANK"/>
    <x v="56"/>
    <x v="1"/>
    <n v="54"/>
    <n v="948.5"/>
    <n v="-51219"/>
  </r>
  <r>
    <s v="ANUBHAV"/>
    <x v="57"/>
    <x v="1"/>
    <n v="1625"/>
    <n v="11.65"/>
    <n v="-18931.25"/>
  </r>
  <r>
    <s v="NARMP"/>
    <x v="57"/>
    <x v="1"/>
    <n v="122"/>
    <n v="7.5"/>
    <n v="-915"/>
  </r>
  <r>
    <s v="NARMP"/>
    <x v="57"/>
    <x v="1"/>
    <n v="1"/>
    <n v="7.6"/>
    <n v="-7.6"/>
  </r>
  <r>
    <s v="NARMP"/>
    <x v="57"/>
    <x v="1"/>
    <n v="1"/>
    <n v="7.6"/>
    <n v="-7.6"/>
  </r>
  <r>
    <s v="RBLBANK"/>
    <x v="58"/>
    <x v="1"/>
    <n v="582"/>
    <n v="210"/>
    <n v="-122220"/>
  </r>
  <r>
    <s v="NOL"/>
    <x v="58"/>
    <x v="1"/>
    <n v="100"/>
    <n v="86"/>
    <n v="-8600"/>
  </r>
  <r>
    <s v="NOL"/>
    <x v="58"/>
    <x v="1"/>
    <n v="90"/>
    <n v="86"/>
    <n v="-7740"/>
  </r>
  <r>
    <s v="NOL"/>
    <x v="58"/>
    <x v="1"/>
    <n v="250"/>
    <n v="86"/>
    <n v="-21500"/>
  </r>
  <r>
    <s v="NOL"/>
    <x v="58"/>
    <x v="1"/>
    <n v="17"/>
    <n v="86"/>
    <n v="-1462"/>
  </r>
  <r>
    <s v="GICRE"/>
    <x v="59"/>
    <x v="1"/>
    <n v="240"/>
    <n v="196.8"/>
    <n v="-47232"/>
  </r>
  <r>
    <s v="GICRE"/>
    <x v="59"/>
    <x v="1"/>
    <n v="465"/>
    <n v="196.95"/>
    <n v="-91581.75"/>
  </r>
  <r>
    <s v="OMAXE"/>
    <x v="60"/>
    <x v="1"/>
    <n v="36"/>
    <n v="43.9"/>
    <n v="-1580.3999999999999"/>
  </r>
  <r>
    <s v="OMAXE"/>
    <x v="60"/>
    <x v="1"/>
    <n v="10"/>
    <n v="43.9"/>
    <n v="-439"/>
  </r>
  <r>
    <s v="OMAXE"/>
    <x v="60"/>
    <x v="1"/>
    <n v="140"/>
    <n v="43.9"/>
    <n v="-6146"/>
  </r>
  <r>
    <s v="OMAXE"/>
    <x v="60"/>
    <x v="1"/>
    <n v="804"/>
    <n v="43.95"/>
    <n v="-35335.800000000003"/>
  </r>
  <r>
    <s v="OMAXE"/>
    <x v="60"/>
    <x v="1"/>
    <n v="160"/>
    <n v="43.95"/>
    <n v="-7032"/>
  </r>
  <r>
    <s v="RBLBANK"/>
    <x v="61"/>
    <x v="1"/>
    <n v="140"/>
    <n v="224.05"/>
    <n v="-31367"/>
  </r>
  <r>
    <s v="TCI"/>
    <x v="61"/>
    <x v="1"/>
    <n v="4"/>
    <n v="785"/>
    <n v="-3140"/>
  </r>
  <r>
    <s v="TCI"/>
    <x v="61"/>
    <x v="1"/>
    <n v="66"/>
    <n v="785"/>
    <n v="-51810"/>
  </r>
  <r>
    <s v="ANUBHAV"/>
    <x v="62"/>
    <x v="1"/>
    <n v="270"/>
    <n v="10.18"/>
    <n v="-2748.6"/>
  </r>
  <r>
    <s v="ANUBHAV"/>
    <x v="62"/>
    <x v="1"/>
    <n v="735"/>
    <n v="10.55"/>
    <n v="-7754.2500000000009"/>
  </r>
  <r>
    <s v="SAIL"/>
    <x v="63"/>
    <x v="1"/>
    <n v="638"/>
    <n v="93.75"/>
    <n v="-59812.5"/>
  </r>
  <r>
    <s v="NEWGEN"/>
    <x v="64"/>
    <x v="0"/>
    <n v="35"/>
    <n v="1158.2"/>
    <n v="40537"/>
  </r>
  <r>
    <s v="TCI"/>
    <x v="65"/>
    <x v="1"/>
    <n v="1"/>
    <n v="763.1"/>
    <n v="-763.1"/>
  </r>
  <r>
    <s v="TCI"/>
    <x v="65"/>
    <x v="1"/>
    <n v="3"/>
    <n v="764.15"/>
    <n v="-2292.4499999999998"/>
  </r>
  <r>
    <s v="TCI"/>
    <x v="65"/>
    <x v="1"/>
    <n v="1"/>
    <n v="763.9"/>
    <n v="-763.9"/>
  </r>
  <r>
    <s v="TCI"/>
    <x v="65"/>
    <x v="1"/>
    <n v="9"/>
    <n v="763.95"/>
    <n v="-6875.55"/>
  </r>
  <r>
    <s v="TCI"/>
    <x v="65"/>
    <x v="1"/>
    <n v="1"/>
    <n v="763.6"/>
    <n v="-763.6"/>
  </r>
  <r>
    <s v="TCI"/>
    <x v="65"/>
    <x v="1"/>
    <n v="1"/>
    <n v="764.4"/>
    <n v="-764.4"/>
  </r>
  <r>
    <s v="TCI"/>
    <x v="65"/>
    <x v="1"/>
    <n v="9"/>
    <n v="764.45"/>
    <n v="-6880.05"/>
  </r>
  <r>
    <s v="TCI"/>
    <x v="65"/>
    <x v="1"/>
    <n v="1"/>
    <n v="764.55"/>
    <n v="-764.55"/>
  </r>
  <r>
    <s v="TCI"/>
    <x v="65"/>
    <x v="1"/>
    <n v="6"/>
    <n v="763.9"/>
    <n v="-4583.3999999999996"/>
  </r>
  <r>
    <s v="TCI"/>
    <x v="65"/>
    <x v="1"/>
    <n v="5"/>
    <n v="764.25"/>
    <n v="-3821.25"/>
  </r>
  <r>
    <s v="TCI"/>
    <x v="65"/>
    <x v="1"/>
    <n v="2"/>
    <n v="764.6"/>
    <n v="-1529.2"/>
  </r>
  <r>
    <s v="TCI"/>
    <x v="65"/>
    <x v="1"/>
    <n v="9"/>
    <n v="764.3"/>
    <n v="-6878.7"/>
  </r>
  <r>
    <s v="TCI"/>
    <x v="65"/>
    <x v="1"/>
    <n v="1"/>
    <n v="764.75"/>
    <n v="-764.75"/>
  </r>
  <r>
    <s v="TCI"/>
    <x v="65"/>
    <x v="1"/>
    <n v="6"/>
    <n v="764.25"/>
    <n v="-4585.5"/>
  </r>
  <r>
    <s v="TCI"/>
    <x v="65"/>
    <x v="1"/>
    <n v="1"/>
    <n v="763.2"/>
    <n v="-763.2"/>
  </r>
  <r>
    <s v="TCI"/>
    <x v="65"/>
    <x v="1"/>
    <n v="1"/>
    <n v="763.45"/>
    <n v="-763.45"/>
  </r>
  <r>
    <s v="TCI"/>
    <x v="65"/>
    <x v="1"/>
    <n v="3"/>
    <n v="763"/>
    <n v="-2289"/>
  </r>
  <r>
    <s v="TCI"/>
    <x v="65"/>
    <x v="1"/>
    <n v="9"/>
    <n v="764.75"/>
    <n v="-6882.75"/>
  </r>
  <r>
    <s v="TCI"/>
    <x v="65"/>
    <x v="1"/>
    <n v="1"/>
    <n v="764.25"/>
    <n v="-764.25"/>
  </r>
  <r>
    <s v="TCI"/>
    <x v="65"/>
    <x v="1"/>
    <n v="1"/>
    <n v="763.85"/>
    <n v="-763.85"/>
  </r>
  <r>
    <s v="TCI"/>
    <x v="65"/>
    <x v="1"/>
    <n v="9"/>
    <n v="763.8"/>
    <n v="-6874.2"/>
  </r>
  <r>
    <s v="TCI"/>
    <x v="65"/>
    <x v="1"/>
    <n v="1"/>
    <n v="764.25"/>
    <n v="-764.25"/>
  </r>
  <r>
    <s v="TCI"/>
    <x v="65"/>
    <x v="1"/>
    <n v="2"/>
    <n v="764.2"/>
    <n v="-1528.4"/>
  </r>
  <r>
    <s v="TCI"/>
    <x v="65"/>
    <x v="1"/>
    <n v="1"/>
    <n v="763.7"/>
    <n v="-763.7"/>
  </r>
  <r>
    <s v="TCI"/>
    <x v="65"/>
    <x v="1"/>
    <n v="6"/>
    <n v="763.7"/>
    <n v="-4582.2000000000007"/>
  </r>
  <r>
    <s v="TCI"/>
    <x v="65"/>
    <x v="1"/>
    <n v="5"/>
    <n v="763.9"/>
    <n v="-3819.5"/>
  </r>
  <r>
    <s v="TCI"/>
    <x v="65"/>
    <x v="1"/>
    <n v="1"/>
    <n v="763.25"/>
    <n v="-763.25"/>
  </r>
  <r>
    <s v="TCI"/>
    <x v="65"/>
    <x v="1"/>
    <n v="1"/>
    <n v="763.3"/>
    <n v="-763.3"/>
  </r>
  <r>
    <s v="TCI"/>
    <x v="65"/>
    <x v="1"/>
    <n v="1"/>
    <n v="763.4"/>
    <n v="-763.4"/>
  </r>
  <r>
    <s v="TCI"/>
    <x v="65"/>
    <x v="1"/>
    <n v="1"/>
    <n v="764.2"/>
    <n v="-764.2"/>
  </r>
  <r>
    <s v="TCI"/>
    <x v="65"/>
    <x v="1"/>
    <n v="1"/>
    <n v="763.9"/>
    <n v="-763.9"/>
  </r>
  <r>
    <s v="JINDALSTEL"/>
    <x v="66"/>
    <x v="1"/>
    <n v="9"/>
    <n v="634"/>
    <n v="-5706"/>
  </r>
  <r>
    <s v="JINDALSTEL"/>
    <x v="67"/>
    <x v="1"/>
    <n v="6"/>
    <n v="617.95000000000005"/>
    <n v="-3707.7000000000003"/>
  </r>
  <r>
    <s v="JINDALSTEL"/>
    <x v="67"/>
    <x v="1"/>
    <n v="8"/>
    <n v="617.9"/>
    <n v="-4943.2"/>
  </r>
  <r>
    <s v="JINDALSTEL"/>
    <x v="67"/>
    <x v="1"/>
    <n v="1"/>
    <n v="617.95000000000005"/>
    <n v="-617.95000000000005"/>
  </r>
  <r>
    <s v="JINDALSTEL"/>
    <x v="67"/>
    <x v="1"/>
    <n v="36"/>
    <n v="617.6"/>
    <n v="-22233.600000000002"/>
  </r>
  <r>
    <s v="JINDALSTEL"/>
    <x v="67"/>
    <x v="1"/>
    <n v="50"/>
    <n v="617.9"/>
    <n v="-30895"/>
  </r>
  <r>
    <s v="JINDALSTEL"/>
    <x v="67"/>
    <x v="1"/>
    <n v="2"/>
    <n v="617.75"/>
    <n v="-1235.5"/>
  </r>
  <r>
    <s v="TCI"/>
    <x v="68"/>
    <x v="1"/>
    <n v="17"/>
    <n v="890"/>
    <n v="-15130"/>
  </r>
  <r>
    <s v="TCI"/>
    <x v="68"/>
    <x v="1"/>
    <n v="5"/>
    <n v="890"/>
    <n v="-4450"/>
  </r>
  <r>
    <s v="RAJKOTINV"/>
    <x v="69"/>
    <x v="1"/>
    <n v="94"/>
    <n v="41.45"/>
    <n v="-3896.3"/>
  </r>
  <r>
    <s v="RAJKOTINV"/>
    <x v="69"/>
    <x v="1"/>
    <n v="17"/>
    <n v="42"/>
    <n v="-714"/>
  </r>
  <r>
    <s v="RAJKOTINV"/>
    <x v="69"/>
    <x v="1"/>
    <n v="509"/>
    <n v="42"/>
    <n v="-21378"/>
  </r>
  <r>
    <s v="EQUITASBNK"/>
    <x v="70"/>
    <x v="1"/>
    <n v="1178"/>
    <n v="98.35"/>
    <n v="-115856.29999999999"/>
  </r>
  <r>
    <s v="EQUITASBNK"/>
    <x v="70"/>
    <x v="1"/>
    <n v="20"/>
    <n v="98.35"/>
    <n v="-1967"/>
  </r>
  <r>
    <s v="EQUITASBNK"/>
    <x v="70"/>
    <x v="1"/>
    <n v="289"/>
    <n v="98.35"/>
    <n v="-28423.149999999998"/>
  </r>
  <r>
    <s v="EQUITASBNK"/>
    <x v="70"/>
    <x v="1"/>
    <n v="513"/>
    <n v="98.35"/>
    <n v="-50453.549999999996"/>
  </r>
  <r>
    <s v="AMBIKCO"/>
    <x v="70"/>
    <x v="0"/>
    <n v="4"/>
    <n v="1601.65"/>
    <n v="6406.6"/>
  </r>
  <r>
    <s v="AMBIKCO"/>
    <x v="70"/>
    <x v="0"/>
    <n v="2"/>
    <n v="1601.6"/>
    <n v="3203.2"/>
  </r>
  <r>
    <s v="AMBIKCO"/>
    <x v="70"/>
    <x v="0"/>
    <n v="3"/>
    <n v="1602"/>
    <n v="4806"/>
  </r>
  <r>
    <s v="AMBIKCO"/>
    <x v="70"/>
    <x v="0"/>
    <n v="1"/>
    <n v="1601.45"/>
    <n v="1601.45"/>
  </r>
  <r>
    <s v="AMBIKCO"/>
    <x v="70"/>
    <x v="0"/>
    <n v="1"/>
    <n v="1601.4"/>
    <n v="1601.4"/>
  </r>
  <r>
    <s v="AMBIKCO"/>
    <x v="70"/>
    <x v="0"/>
    <n v="3"/>
    <n v="1601.25"/>
    <n v="4803.75"/>
  </r>
  <r>
    <s v="AMBIKCO"/>
    <x v="70"/>
    <x v="0"/>
    <n v="1"/>
    <n v="1601.05"/>
    <n v="1601.05"/>
  </r>
  <r>
    <s v="AMBIKCO"/>
    <x v="70"/>
    <x v="0"/>
    <n v="1"/>
    <n v="1601.25"/>
    <n v="1601.25"/>
  </r>
  <r>
    <s v="AMBIKCO"/>
    <x v="70"/>
    <x v="0"/>
    <n v="2"/>
    <n v="1601.05"/>
    <n v="3202.1"/>
  </r>
  <r>
    <s v="AMBIKCO"/>
    <x v="70"/>
    <x v="0"/>
    <n v="11"/>
    <n v="1601"/>
    <n v="17611"/>
  </r>
  <r>
    <s v="AMBIKCO"/>
    <x v="70"/>
    <x v="0"/>
    <n v="2"/>
    <n v="1601.7"/>
    <n v="3203.4"/>
  </r>
  <r>
    <s v="EMAMIPAP"/>
    <x v="70"/>
    <x v="0"/>
    <n v="29"/>
    <n v="114.16"/>
    <n v="3310.64"/>
  </r>
  <r>
    <s v="EMAMIPAP"/>
    <x v="70"/>
    <x v="0"/>
    <n v="21"/>
    <n v="114.16"/>
    <n v="2397.36"/>
  </r>
  <r>
    <s v="EMAMIPAP"/>
    <x v="70"/>
    <x v="0"/>
    <n v="28"/>
    <n v="114.16"/>
    <n v="3196.48"/>
  </r>
  <r>
    <s v="EMAMIPAP"/>
    <x v="70"/>
    <x v="0"/>
    <n v="42"/>
    <n v="114.15"/>
    <n v="4794.3"/>
  </r>
  <r>
    <s v="EMAMIPAP"/>
    <x v="70"/>
    <x v="0"/>
    <n v="6"/>
    <n v="114.13"/>
    <n v="684.78"/>
  </r>
  <r>
    <s v="EMAMIPAP"/>
    <x v="70"/>
    <x v="0"/>
    <n v="21"/>
    <n v="114.12"/>
    <n v="2396.52"/>
  </r>
  <r>
    <s v="EMAMIPAP"/>
    <x v="70"/>
    <x v="0"/>
    <n v="8"/>
    <n v="114.12"/>
    <n v="912.96"/>
  </r>
  <r>
    <s v="EMAMIPAP"/>
    <x v="70"/>
    <x v="0"/>
    <n v="98"/>
    <n v="114.21"/>
    <n v="11192.58"/>
  </r>
  <r>
    <s v="EMAMIPAP"/>
    <x v="70"/>
    <x v="0"/>
    <n v="10"/>
    <n v="114.28"/>
    <n v="1142.8"/>
  </r>
  <r>
    <s v="EMAMIPAP"/>
    <x v="70"/>
    <x v="0"/>
    <n v="2"/>
    <n v="114.28"/>
    <n v="228.56"/>
  </r>
  <r>
    <s v="EMAMIPAP"/>
    <x v="70"/>
    <x v="0"/>
    <n v="45"/>
    <n v="114.28"/>
    <n v="5142.6000000000004"/>
  </r>
  <r>
    <s v="EMAMIPAP"/>
    <x v="70"/>
    <x v="0"/>
    <n v="21"/>
    <n v="114.27"/>
    <n v="2399.67"/>
  </r>
  <r>
    <s v="EMAMIPAP"/>
    <x v="70"/>
    <x v="0"/>
    <n v="2"/>
    <n v="114.26"/>
    <n v="228.52"/>
  </r>
  <r>
    <s v="EMAMIPAP"/>
    <x v="70"/>
    <x v="0"/>
    <n v="4"/>
    <n v="114.25"/>
    <n v="457"/>
  </r>
  <r>
    <s v="EMAMIPAP"/>
    <x v="70"/>
    <x v="0"/>
    <n v="43"/>
    <n v="114.23"/>
    <n v="4911.8900000000003"/>
  </r>
  <r>
    <s v="EMAMIPAP"/>
    <x v="70"/>
    <x v="0"/>
    <n v="4"/>
    <n v="114.22"/>
    <n v="456.88"/>
  </r>
  <r>
    <s v="EMAMIPAP"/>
    <x v="70"/>
    <x v="0"/>
    <n v="40"/>
    <n v="114.21"/>
    <n v="4568.3999999999996"/>
  </r>
  <r>
    <s v="EMAMIPAP"/>
    <x v="70"/>
    <x v="0"/>
    <n v="28"/>
    <n v="114.21"/>
    <n v="3197.8799999999997"/>
  </r>
  <r>
    <s v="EMAMIPAP"/>
    <x v="70"/>
    <x v="0"/>
    <n v="40"/>
    <n v="114.21"/>
    <n v="4568.3999999999996"/>
  </r>
  <r>
    <s v="EMAMIPAP"/>
    <x v="70"/>
    <x v="0"/>
    <n v="28"/>
    <n v="114.21"/>
    <n v="3197.8799999999997"/>
  </r>
  <r>
    <s v="EMAMIPAP"/>
    <x v="70"/>
    <x v="0"/>
    <n v="15"/>
    <n v="114.18"/>
    <n v="1712.7"/>
  </r>
  <r>
    <s v="EMAMIPAP"/>
    <x v="70"/>
    <x v="0"/>
    <n v="21"/>
    <n v="114.16"/>
    <n v="2397.36"/>
  </r>
  <r>
    <s v="RANASUG"/>
    <x v="70"/>
    <x v="0"/>
    <n v="266"/>
    <n v="24.52"/>
    <n v="6522.32"/>
  </r>
  <r>
    <s v="RANASUG"/>
    <x v="70"/>
    <x v="0"/>
    <n v="1858"/>
    <n v="24.51"/>
    <n v="45539.58"/>
  </r>
  <r>
    <s v="RANASUG"/>
    <x v="70"/>
    <x v="0"/>
    <n v="53"/>
    <n v="24.5"/>
    <n v="1298.5"/>
  </r>
  <r>
    <s v="RAJKOTINV-X"/>
    <x v="71"/>
    <x v="0"/>
    <n v="1000"/>
    <n v="39.4"/>
    <n v="39400"/>
  </r>
  <r>
    <s v="RAJKOTINV-X"/>
    <x v="71"/>
    <x v="0"/>
    <n v="270"/>
    <n v="39.4"/>
    <n v="10638"/>
  </r>
  <r>
    <s v="RAJKOTINV-X"/>
    <x v="71"/>
    <x v="0"/>
    <n v="233"/>
    <n v="39.4"/>
    <n v="9180.1999999999989"/>
  </r>
  <r>
    <s v="GICRE"/>
    <x v="72"/>
    <x v="1"/>
    <n v="30"/>
    <n v="384.45"/>
    <n v="-11533.5"/>
  </r>
  <r>
    <s v="GICRE"/>
    <x v="72"/>
    <x v="1"/>
    <n v="15"/>
    <n v="384.45"/>
    <n v="-5766.75"/>
  </r>
  <r>
    <s v="GICRE"/>
    <x v="72"/>
    <x v="1"/>
    <n v="28"/>
    <n v="384.45"/>
    <n v="-10764.6"/>
  </r>
  <r>
    <s v="GICRE"/>
    <x v="72"/>
    <x v="1"/>
    <n v="26"/>
    <n v="384.45"/>
    <n v="-9995.6999999999989"/>
  </r>
  <r>
    <s v="GICRE"/>
    <x v="72"/>
    <x v="1"/>
    <n v="20"/>
    <n v="384.5"/>
    <n v="-7690"/>
  </r>
  <r>
    <s v="GICRE"/>
    <x v="72"/>
    <x v="1"/>
    <n v="40"/>
    <n v="384.5"/>
    <n v="-15380"/>
  </r>
  <r>
    <s v="GICRE"/>
    <x v="72"/>
    <x v="1"/>
    <n v="30"/>
    <n v="384.5"/>
    <n v="-11535"/>
  </r>
  <r>
    <s v="GICRE"/>
    <x v="72"/>
    <x v="1"/>
    <n v="71"/>
    <n v="384.55"/>
    <n v="-27303.05"/>
  </r>
  <r>
    <s v="GHCL"/>
    <x v="73"/>
    <x v="1"/>
    <n v="3"/>
    <n v="554.5"/>
    <n v="-1663.5"/>
  </r>
  <r>
    <s v="JNKINDIA"/>
    <x v="73"/>
    <x v="1"/>
    <n v="2"/>
    <n v="827.65"/>
    <n v="-1655.3"/>
  </r>
  <r>
    <s v="JNKINDIA"/>
    <x v="73"/>
    <x v="1"/>
    <n v="14"/>
    <n v="827.65"/>
    <n v="-11587.1"/>
  </r>
  <r>
    <s v="JNKINDIA"/>
    <x v="73"/>
    <x v="1"/>
    <n v="18"/>
    <n v="827.7"/>
    <n v="-14898.6"/>
  </r>
  <r>
    <s v="JNKINDIA"/>
    <x v="73"/>
    <x v="1"/>
    <n v="48"/>
    <n v="827.7"/>
    <n v="-39729.600000000006"/>
  </r>
  <r>
    <s v="JNKINDIA"/>
    <x v="73"/>
    <x v="1"/>
    <n v="13"/>
    <n v="827.75"/>
    <n v="-10760.75"/>
  </r>
  <r>
    <s v="JNKINDIA"/>
    <x v="73"/>
    <x v="1"/>
    <n v="15"/>
    <n v="828.2"/>
    <n v="-12423"/>
  </r>
  <r>
    <s v="JNKINDIA"/>
    <x v="73"/>
    <x v="1"/>
    <n v="7"/>
    <n v="829"/>
    <n v="-5803"/>
  </r>
  <r>
    <s v="JNKINDIA"/>
    <x v="73"/>
    <x v="1"/>
    <n v="12"/>
    <n v="829"/>
    <n v="-9948"/>
  </r>
  <r>
    <s v="JNKINDIA"/>
    <x v="73"/>
    <x v="1"/>
    <n v="120"/>
    <n v="829"/>
    <n v="-99480"/>
  </r>
  <r>
    <s v="JNKINDIA"/>
    <x v="73"/>
    <x v="1"/>
    <n v="300"/>
    <n v="829"/>
    <n v="-248700"/>
  </r>
  <r>
    <s v="JNKINDIA"/>
    <x v="73"/>
    <x v="1"/>
    <n v="4"/>
    <n v="829"/>
    <n v="-3316"/>
  </r>
  <r>
    <s v="JNKINDIA"/>
    <x v="73"/>
    <x v="1"/>
    <n v="47"/>
    <n v="829"/>
    <n v="-38963"/>
  </r>
  <r>
    <s v="YESBANK"/>
    <x v="74"/>
    <x v="1"/>
    <n v="3126"/>
    <n v="23.91"/>
    <n v="-74742.66"/>
  </r>
  <r>
    <s v="YESBANK"/>
    <x v="74"/>
    <x v="1"/>
    <n v="5110"/>
    <n v="23.91"/>
    <n v="-122180.1"/>
  </r>
  <r>
    <s v="YESBANK"/>
    <x v="74"/>
    <x v="1"/>
    <n v="2"/>
    <n v="23.91"/>
    <n v="-47.82"/>
  </r>
  <r>
    <s v="YESBANK"/>
    <x v="74"/>
    <x v="1"/>
    <n v="3777"/>
    <n v="23.91"/>
    <n v="-90308.07"/>
  </r>
  <r>
    <s v="YESBANK"/>
    <x v="74"/>
    <x v="1"/>
    <n v="6832"/>
    <n v="23.91"/>
    <n v="-163353.12"/>
  </r>
  <r>
    <s v="YESBANK"/>
    <x v="74"/>
    <x v="1"/>
    <n v="807"/>
    <n v="23.91"/>
    <n v="-19295.37"/>
  </r>
  <r>
    <s v="YESBANK"/>
    <x v="74"/>
    <x v="1"/>
    <n v="1746"/>
    <n v="23.92"/>
    <n v="-41764.32"/>
  </r>
  <r>
    <s v="BAJFINANCE"/>
    <x v="75"/>
    <x v="1"/>
    <n v="24"/>
    <n v="6932"/>
    <n v="-166368"/>
  </r>
  <r>
    <s v="BAJFINANCE"/>
    <x v="75"/>
    <x v="1"/>
    <n v="8"/>
    <n v="6932"/>
    <n v="-55456"/>
  </r>
  <r>
    <s v="BAJFINANCE"/>
    <x v="75"/>
    <x v="1"/>
    <n v="1"/>
    <n v="6932"/>
    <n v="-6932"/>
  </r>
  <r>
    <s v="BAJFINANCE"/>
    <x v="75"/>
    <x v="1"/>
    <n v="10"/>
    <n v="6932"/>
    <n v="-69320"/>
  </r>
  <r>
    <s v="BAJFINANCE"/>
    <x v="75"/>
    <x v="1"/>
    <n v="7"/>
    <n v="6932"/>
    <n v="-48524"/>
  </r>
  <r>
    <s v="BAJFINANCE"/>
    <x v="75"/>
    <x v="1"/>
    <n v="3"/>
    <n v="6932"/>
    <n v="-20796"/>
  </r>
  <r>
    <s v="BAJFINANCE"/>
    <x v="75"/>
    <x v="1"/>
    <n v="68"/>
    <n v="6932"/>
    <n v="-471376"/>
  </r>
  <r>
    <s v="BAJFINANCE"/>
    <x v="75"/>
    <x v="1"/>
    <n v="23"/>
    <n v="6932"/>
    <n v="-159436"/>
  </r>
  <r>
    <s v="ABFRL"/>
    <x v="75"/>
    <x v="1"/>
    <n v="257"/>
    <n v="316.75"/>
    <n v="-81404.75"/>
  </r>
  <r>
    <s v="ABFRL"/>
    <x v="75"/>
    <x v="1"/>
    <n v="20"/>
    <n v="316.75"/>
    <n v="-6335"/>
  </r>
  <r>
    <s v="ABFRL"/>
    <x v="75"/>
    <x v="1"/>
    <n v="150"/>
    <n v="316.75"/>
    <n v="-47512.5"/>
  </r>
  <r>
    <s v="ABFRL"/>
    <x v="75"/>
    <x v="1"/>
    <n v="10"/>
    <n v="316.75"/>
    <n v="-3167.5"/>
  </r>
  <r>
    <s v="ABFRL"/>
    <x v="75"/>
    <x v="1"/>
    <n v="1"/>
    <n v="316.75"/>
    <n v="-316.75"/>
  </r>
  <r>
    <s v="ABFRL"/>
    <x v="75"/>
    <x v="1"/>
    <n v="34"/>
    <n v="316.75"/>
    <n v="-10769.5"/>
  </r>
  <r>
    <s v="ABFRL"/>
    <x v="75"/>
    <x v="1"/>
    <n v="34"/>
    <n v="316.75"/>
    <n v="-10769.5"/>
  </r>
  <r>
    <s v="ABFRL"/>
    <x v="75"/>
    <x v="1"/>
    <n v="20"/>
    <n v="316.75"/>
    <n v="-6335"/>
  </r>
  <r>
    <s v="ABFRL"/>
    <x v="75"/>
    <x v="1"/>
    <n v="7"/>
    <n v="316.75"/>
    <n v="-2217.25"/>
  </r>
  <r>
    <s v="ABFRL"/>
    <x v="75"/>
    <x v="1"/>
    <n v="26"/>
    <n v="316.75"/>
    <n v="-8235.5"/>
  </r>
  <r>
    <s v="ABFRL"/>
    <x v="75"/>
    <x v="1"/>
    <n v="64"/>
    <n v="316.75"/>
    <n v="-20272"/>
  </r>
  <r>
    <s v="ABFRL"/>
    <x v="75"/>
    <x v="1"/>
    <n v="25"/>
    <n v="316.75"/>
    <n v="-7918.75"/>
  </r>
  <r>
    <s v="ABFRL"/>
    <x v="75"/>
    <x v="1"/>
    <n v="50"/>
    <n v="316.75"/>
    <n v="-15837.5"/>
  </r>
  <r>
    <s v="ABFRL"/>
    <x v="75"/>
    <x v="1"/>
    <n v="2"/>
    <n v="316.75"/>
    <n v="-633.5"/>
  </r>
  <r>
    <s v="ABFRL"/>
    <x v="75"/>
    <x v="1"/>
    <n v="1000"/>
    <n v="316.75"/>
    <n v="-316750"/>
  </r>
  <r>
    <s v="ABFRL"/>
    <x v="75"/>
    <x v="1"/>
    <n v="130"/>
    <n v="316.75"/>
    <n v="-41177.5"/>
  </r>
  <r>
    <s v="ABFRL"/>
    <x v="75"/>
    <x v="1"/>
    <n v="100"/>
    <n v="316.75"/>
    <n v="-31675"/>
  </r>
  <r>
    <s v="ABFRL"/>
    <x v="75"/>
    <x v="1"/>
    <n v="500"/>
    <n v="316.75"/>
    <n v="-158375"/>
  </r>
  <r>
    <s v="ABFRL"/>
    <x v="75"/>
    <x v="1"/>
    <n v="5"/>
    <n v="316.75"/>
    <n v="-1583.75"/>
  </r>
  <r>
    <s v="ABFRL"/>
    <x v="75"/>
    <x v="1"/>
    <n v="75"/>
    <n v="316.75"/>
    <n v="-23756.25"/>
  </r>
  <r>
    <s v="ABFRL"/>
    <x v="75"/>
    <x v="1"/>
    <n v="3"/>
    <n v="316.75"/>
    <n v="-950.25"/>
  </r>
  <r>
    <s v="ABFRL"/>
    <x v="75"/>
    <x v="1"/>
    <n v="66"/>
    <n v="316.75"/>
    <n v="-20905.5"/>
  </r>
  <r>
    <s v="ABFRL"/>
    <x v="75"/>
    <x v="1"/>
    <n v="61"/>
    <n v="316.75"/>
    <n v="-19321.75"/>
  </r>
  <r>
    <s v="ABFRL"/>
    <x v="75"/>
    <x v="1"/>
    <n v="60"/>
    <n v="316.75"/>
    <n v="-19005"/>
  </r>
  <r>
    <s v="ABFRL"/>
    <x v="75"/>
    <x v="1"/>
    <n v="300"/>
    <n v="316.75"/>
    <n v="-95025"/>
  </r>
  <r>
    <s v="GICRE"/>
    <x v="75"/>
    <x v="1"/>
    <n v="374"/>
    <n v="384"/>
    <n v="-143616"/>
  </r>
  <r>
    <s v="GICRE"/>
    <x v="75"/>
    <x v="1"/>
    <n v="24"/>
    <n v="384"/>
    <n v="-9216"/>
  </r>
  <r>
    <s v="GICRE"/>
    <x v="75"/>
    <x v="1"/>
    <n v="90"/>
    <n v="384"/>
    <n v="-34560"/>
  </r>
  <r>
    <s v="GICRE"/>
    <x v="75"/>
    <x v="1"/>
    <n v="90"/>
    <n v="384"/>
    <n v="-34560"/>
  </r>
  <r>
    <s v="GICRE"/>
    <x v="75"/>
    <x v="1"/>
    <n v="60"/>
    <n v="384"/>
    <n v="-23040"/>
  </r>
  <r>
    <s v="GICRE"/>
    <x v="75"/>
    <x v="1"/>
    <n v="60"/>
    <n v="384"/>
    <n v="-23040"/>
  </r>
  <r>
    <s v="GICRE"/>
    <x v="75"/>
    <x v="1"/>
    <n v="30"/>
    <n v="384"/>
    <n v="-11520"/>
  </r>
  <r>
    <s v="GICRE"/>
    <x v="75"/>
    <x v="1"/>
    <n v="56"/>
    <n v="384"/>
    <n v="-21504"/>
  </r>
  <r>
    <s v="GICRE"/>
    <x v="75"/>
    <x v="1"/>
    <n v="200"/>
    <n v="384"/>
    <n v="-76800"/>
  </r>
  <r>
    <s v="GICRE"/>
    <x v="75"/>
    <x v="1"/>
    <n v="100"/>
    <n v="384"/>
    <n v="-38400"/>
  </r>
  <r>
    <s v="GICRE"/>
    <x v="75"/>
    <x v="1"/>
    <n v="102"/>
    <n v="384"/>
    <n v="-39168"/>
  </r>
  <r>
    <s v="GICRE"/>
    <x v="75"/>
    <x v="1"/>
    <n v="116"/>
    <n v="384"/>
    <n v="-44544"/>
  </r>
  <r>
    <s v="MANYAVAR"/>
    <x v="75"/>
    <x v="1"/>
    <n v="195"/>
    <n v="1036.3"/>
    <n v="-202078.5"/>
  </r>
  <r>
    <s v="MANYAVAR"/>
    <x v="75"/>
    <x v="1"/>
    <n v="30"/>
    <n v="1036.3"/>
    <n v="-31089"/>
  </r>
  <r>
    <s v="MANYAVAR"/>
    <x v="75"/>
    <x v="1"/>
    <n v="24"/>
    <n v="1036.3"/>
    <n v="-24871.199999999997"/>
  </r>
  <r>
    <s v="MANYAVAR"/>
    <x v="75"/>
    <x v="1"/>
    <n v="1"/>
    <n v="1036.3"/>
    <n v="-1036.3"/>
  </r>
  <r>
    <s v="MANYAVAR"/>
    <x v="75"/>
    <x v="1"/>
    <n v="8"/>
    <n v="1036.3"/>
    <n v="-8290.4"/>
  </r>
  <r>
    <s v="SOBHA"/>
    <x v="75"/>
    <x v="1"/>
    <n v="50"/>
    <n v="1822"/>
    <n v="-91100"/>
  </r>
  <r>
    <s v="SBILIFE"/>
    <x v="75"/>
    <x v="1"/>
    <n v="75"/>
    <n v="1641.1"/>
    <n v="-123082.5"/>
  </r>
  <r>
    <s v="SBILIFE"/>
    <x v="75"/>
    <x v="1"/>
    <n v="6"/>
    <n v="1641.1"/>
    <n v="-9846.5999999999985"/>
  </r>
  <r>
    <s v="SBILIFE"/>
    <x v="75"/>
    <x v="1"/>
    <n v="54"/>
    <n v="1641.1"/>
    <n v="-88619.4"/>
  </r>
  <r>
    <s v="SBILIFE"/>
    <x v="75"/>
    <x v="1"/>
    <n v="1"/>
    <n v="1641.1"/>
    <n v="-1641.1"/>
  </r>
  <r>
    <s v="SBILIFE"/>
    <x v="75"/>
    <x v="1"/>
    <n v="2"/>
    <n v="1641.1"/>
    <n v="-3282.2"/>
  </r>
  <r>
    <s v="SBILIFE"/>
    <x v="75"/>
    <x v="1"/>
    <n v="2"/>
    <n v="1641.1"/>
    <n v="-3282.2"/>
  </r>
  <r>
    <s v="SBILIFE"/>
    <x v="75"/>
    <x v="1"/>
    <n v="1"/>
    <n v="1641.1"/>
    <n v="-1641.1"/>
  </r>
  <r>
    <s v="SBILIFE"/>
    <x v="75"/>
    <x v="1"/>
    <n v="2"/>
    <n v="1641.1"/>
    <n v="-3282.2"/>
  </r>
  <r>
    <s v="SBILIFE"/>
    <x v="75"/>
    <x v="1"/>
    <n v="26"/>
    <n v="1641.1"/>
    <n v="-42668.6"/>
  </r>
  <r>
    <s v="SBILIFE"/>
    <x v="75"/>
    <x v="1"/>
    <n v="73"/>
    <n v="1641.1"/>
    <n v="-119800.29999999999"/>
  </r>
  <r>
    <s v="SBILIFE"/>
    <x v="75"/>
    <x v="1"/>
    <n v="7"/>
    <n v="1641.1"/>
    <n v="-11487.699999999999"/>
  </r>
  <r>
    <s v="MANYAVAR"/>
    <x v="75"/>
    <x v="1"/>
    <n v="6"/>
    <n v="1036.3"/>
    <n v="-6217.7999999999993"/>
  </r>
  <r>
    <s v="SBILIFE"/>
    <x v="75"/>
    <x v="1"/>
    <n v="54"/>
    <n v="1641.1"/>
    <n v="-88619.4"/>
  </r>
  <r>
    <s v="MANYAVAR"/>
    <x v="75"/>
    <x v="1"/>
    <n v="84"/>
    <n v="1036.3"/>
    <n v="-87049.2"/>
  </r>
  <r>
    <s v="MANYAVAR"/>
    <x v="75"/>
    <x v="1"/>
    <n v="15"/>
    <n v="1036.3"/>
    <n v="-15544.5"/>
  </r>
  <r>
    <s v="MANYAVAR"/>
    <x v="75"/>
    <x v="1"/>
    <n v="91"/>
    <n v="1036.3"/>
    <n v="-94303.3"/>
  </r>
  <r>
    <s v="MANYAVAR"/>
    <x v="75"/>
    <x v="1"/>
    <n v="2"/>
    <n v="1036.3"/>
    <n v="-2072.6"/>
  </r>
  <r>
    <s v="TCI"/>
    <x v="76"/>
    <x v="1"/>
    <n v="1"/>
    <n v="1218.1500000000001"/>
    <n v="-1218.1500000000001"/>
  </r>
  <r>
    <s v="TCI"/>
    <x v="76"/>
    <x v="1"/>
    <n v="61"/>
    <n v="1218.3"/>
    <n v="-74316.3"/>
  </r>
  <r>
    <s v="TCI"/>
    <x v="76"/>
    <x v="1"/>
    <n v="9"/>
    <n v="1218.2"/>
    <n v="-10963.800000000001"/>
  </r>
  <r>
    <s v="TCI"/>
    <x v="76"/>
    <x v="1"/>
    <n v="10"/>
    <n v="1218.0999999999999"/>
    <n v="-12181"/>
  </r>
  <r>
    <s v="UJJIVANSFB"/>
    <x v="76"/>
    <x v="1"/>
    <n v="40"/>
    <n v="38.299999999999997"/>
    <n v="-1532"/>
  </r>
  <r>
    <s v="UJJIVANSFB"/>
    <x v="76"/>
    <x v="1"/>
    <n v="955"/>
    <n v="38.299999999999997"/>
    <n v="-36576.5"/>
  </r>
  <r>
    <s v="UJJIVANSFB"/>
    <x v="76"/>
    <x v="1"/>
    <n v="164"/>
    <n v="38.299999999999997"/>
    <n v="-6281.2"/>
  </r>
  <r>
    <s v="UJJIVANSFB"/>
    <x v="76"/>
    <x v="1"/>
    <n v="647"/>
    <n v="38.299999999999997"/>
    <n v="-24780.1"/>
  </r>
  <r>
    <s v="UJJIVANSFB"/>
    <x v="76"/>
    <x v="1"/>
    <n v="131"/>
    <n v="38.299999999999997"/>
    <n v="-5017.2999999999993"/>
  </r>
  <r>
    <s v="UJJIVANSFB"/>
    <x v="76"/>
    <x v="1"/>
    <n v="232"/>
    <n v="38.299999999999997"/>
    <n v="-8885.5999999999985"/>
  </r>
  <r>
    <s v="UJJIVANSFB"/>
    <x v="76"/>
    <x v="1"/>
    <n v="331"/>
    <n v="38.31"/>
    <n v="-12680.61"/>
  </r>
  <r>
    <s v="KOLTEPATIL"/>
    <x v="76"/>
    <x v="1"/>
    <n v="174"/>
    <n v="367"/>
    <n v="-63858"/>
  </r>
  <r>
    <s v="KOLTEPATIL"/>
    <x v="76"/>
    <x v="1"/>
    <n v="1"/>
    <n v="367"/>
    <n v="-367"/>
  </r>
  <r>
    <s v="KOLTEPATIL"/>
    <x v="76"/>
    <x v="1"/>
    <n v="20"/>
    <n v="367"/>
    <n v="-7340"/>
  </r>
  <r>
    <s v="KOLTEPATIL"/>
    <x v="76"/>
    <x v="1"/>
    <n v="75"/>
    <n v="367"/>
    <n v="-27525"/>
  </r>
  <r>
    <s v="GICRE"/>
    <x v="76"/>
    <x v="1"/>
    <n v="268"/>
    <n v="372.45"/>
    <n v="-99816.599999999991"/>
  </r>
  <r>
    <s v="MANINDS"/>
    <x v="76"/>
    <x v="1"/>
    <n v="314"/>
    <n v="319"/>
    <n v="-100166"/>
  </r>
  <r>
    <s v="PTC"/>
    <x v="76"/>
    <x v="1"/>
    <n v="404"/>
    <n v="185.95"/>
    <n v="-75123.799999999988"/>
  </r>
  <r>
    <s v="PTC"/>
    <x v="76"/>
    <x v="1"/>
    <n v="10"/>
    <n v="185.95"/>
    <n v="-1859.5"/>
  </r>
  <r>
    <s v="PTC"/>
    <x v="76"/>
    <x v="1"/>
    <n v="1"/>
    <n v="185.95"/>
    <n v="-185.95"/>
  </r>
  <r>
    <s v="PTC"/>
    <x v="76"/>
    <x v="1"/>
    <n v="25"/>
    <n v="185.95"/>
    <n v="-4648.75"/>
  </r>
  <r>
    <s v="PTC"/>
    <x v="76"/>
    <x v="1"/>
    <n v="100"/>
    <n v="185.95"/>
    <n v="-18595"/>
  </r>
  <r>
    <s v="RBLBANK"/>
    <x v="76"/>
    <x v="1"/>
    <n v="580"/>
    <n v="171.85"/>
    <n v="-99673"/>
  </r>
  <r>
    <s v="TATASTEEL"/>
    <x v="76"/>
    <x v="1"/>
    <n v="670"/>
    <n v="151.1"/>
    <n v="-101237"/>
  </r>
  <r>
    <s v="YESBANK"/>
    <x v="76"/>
    <x v="1"/>
    <n v="4000"/>
    <n v="20.73"/>
    <n v="-82920"/>
  </r>
  <r>
    <s v="BDL"/>
    <x v="76"/>
    <x v="1"/>
    <n v="16"/>
    <n v="1065.7"/>
    <n v="-17051.2"/>
  </r>
  <r>
    <s v="BDL"/>
    <x v="76"/>
    <x v="1"/>
    <n v="2"/>
    <n v="1065.3"/>
    <n v="-2130.6"/>
  </r>
  <r>
    <s v="BDL"/>
    <x v="76"/>
    <x v="1"/>
    <n v="15"/>
    <n v="1065.3"/>
    <n v="-15979.5"/>
  </r>
  <r>
    <s v="BDL"/>
    <x v="76"/>
    <x v="1"/>
    <n v="10"/>
    <n v="1065.75"/>
    <n v="-10657.5"/>
  </r>
  <r>
    <s v="BDL"/>
    <x v="76"/>
    <x v="1"/>
    <n v="9"/>
    <n v="1065.8"/>
    <n v="-9592.1999999999989"/>
  </r>
  <r>
    <s v="BDL"/>
    <x v="76"/>
    <x v="1"/>
    <n v="14"/>
    <n v="1065.8"/>
    <n v="-14921.199999999999"/>
  </r>
  <r>
    <s v="BDL"/>
    <x v="76"/>
    <x v="1"/>
    <n v="16"/>
    <n v="1065.8499999999999"/>
    <n v="-17053.599999999999"/>
  </r>
  <r>
    <s v="BDL"/>
    <x v="76"/>
    <x v="1"/>
    <n v="12"/>
    <n v="1065.9000000000001"/>
    <n v="-12790.800000000001"/>
  </r>
  <r>
    <s v="BDL"/>
    <x v="76"/>
    <x v="1"/>
    <n v="4"/>
    <n v="1065.95"/>
    <n v="-4263.8"/>
  </r>
  <r>
    <s v="BDL"/>
    <x v="76"/>
    <x v="1"/>
    <n v="2"/>
    <n v="1065.95"/>
    <n v="-2131.9"/>
  </r>
  <r>
    <s v="HINDALCO"/>
    <x v="76"/>
    <x v="1"/>
    <n v="42"/>
    <n v="701.7"/>
    <n v="-29471.4"/>
  </r>
  <r>
    <s v="HINDALCO"/>
    <x v="76"/>
    <x v="1"/>
    <n v="4"/>
    <n v="701.7"/>
    <n v="-2806.8"/>
  </r>
  <r>
    <s v="HINDALCO"/>
    <x v="76"/>
    <x v="1"/>
    <n v="4"/>
    <n v="701.85"/>
    <n v="-2807.4"/>
  </r>
  <r>
    <s v="HINDALCO"/>
    <x v="76"/>
    <x v="1"/>
    <n v="5"/>
    <n v="701.85"/>
    <n v="-3509.25"/>
  </r>
  <r>
    <s v="HINDALCO"/>
    <x v="76"/>
    <x v="1"/>
    <n v="12"/>
    <n v="701.85"/>
    <n v="-8422.2000000000007"/>
  </r>
  <r>
    <s v="HINDALCO"/>
    <x v="76"/>
    <x v="1"/>
    <n v="5"/>
    <n v="701.85"/>
    <n v="-3509.25"/>
  </r>
  <r>
    <s v="HINDALCO"/>
    <x v="76"/>
    <x v="1"/>
    <n v="12"/>
    <n v="701.85"/>
    <n v="-8422.2000000000007"/>
  </r>
  <r>
    <s v="HINDALCO"/>
    <x v="76"/>
    <x v="1"/>
    <n v="5"/>
    <n v="701.85"/>
    <n v="-3509.25"/>
  </r>
  <r>
    <s v="HINDALCO"/>
    <x v="76"/>
    <x v="1"/>
    <n v="3"/>
    <n v="701.85"/>
    <n v="-2105.5500000000002"/>
  </r>
  <r>
    <s v="HINDALCO"/>
    <x v="76"/>
    <x v="1"/>
    <n v="3"/>
    <n v="701.85"/>
    <n v="-2105.5500000000002"/>
  </r>
  <r>
    <s v="HINDALCO"/>
    <x v="76"/>
    <x v="1"/>
    <n v="12"/>
    <n v="701.85"/>
    <n v="-8422.2000000000007"/>
  </r>
  <r>
    <s v="HINDALCO"/>
    <x v="76"/>
    <x v="1"/>
    <n v="5"/>
    <n v="701.85"/>
    <n v="-3509.25"/>
  </r>
  <r>
    <s v="HINDALCO"/>
    <x v="76"/>
    <x v="1"/>
    <n v="3"/>
    <n v="701.85"/>
    <n v="-2105.5500000000002"/>
  </r>
  <r>
    <s v="HINDALCO"/>
    <x v="76"/>
    <x v="1"/>
    <n v="1"/>
    <n v="701.8"/>
    <n v="-701.8"/>
  </r>
  <r>
    <s v="HINDALCO"/>
    <x v="76"/>
    <x v="1"/>
    <n v="26"/>
    <n v="701.7"/>
    <n v="-18244.2"/>
  </r>
  <r>
    <s v="DEEPAKNTR"/>
    <x v="76"/>
    <x v="1"/>
    <n v="35"/>
    <n v="2753"/>
    <n v="-96355"/>
  </r>
  <r>
    <s v="DEEPAKNTR"/>
    <x v="76"/>
    <x v="1"/>
    <n v="40"/>
    <n v="2747"/>
    <n v="-109880"/>
  </r>
  <r>
    <s v="SALZERELEC"/>
    <x v="77"/>
    <x v="1"/>
    <n v="93"/>
    <n v="1065"/>
    <n v="-99045"/>
  </r>
  <r>
    <s v="PAYTM"/>
    <x v="78"/>
    <x v="1"/>
    <n v="19"/>
    <n v="750.95"/>
    <n v="-14268.050000000001"/>
  </r>
  <r>
    <s v="PAYTM"/>
    <x v="78"/>
    <x v="1"/>
    <n v="53"/>
    <n v="751"/>
    <n v="-39803"/>
  </r>
  <r>
    <s v="PAYTM"/>
    <x v="78"/>
    <x v="1"/>
    <n v="30"/>
    <n v="751"/>
    <n v="-22530"/>
  </r>
  <r>
    <s v="PAYTM"/>
    <x v="78"/>
    <x v="1"/>
    <n v="31"/>
    <n v="751"/>
    <n v="-23281"/>
  </r>
  <r>
    <s v="LKMEHTA-MT"/>
    <x v="79"/>
    <x v="0"/>
    <n v="1600"/>
    <n v="71"/>
    <n v="113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6EFB9-769F-44F7-BF10-D6AB5066048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2:C82" firstHeaderRow="1" firstDataRow="1" firstDataCol="1"/>
  <pivotFields count="9">
    <pivotField showAll="0"/>
    <pivotField axis="axisRow" numFmtId="14" showAll="0">
      <items count="81"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</rowItems>
  <colItems count="1">
    <i/>
  </colItems>
  <dataFields count="1">
    <dataField name="Sum of Cashflow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0F254DE-139D-4D07-978B-17B65FA98118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Symbol" tableColumnId="1"/>
      <queryTableField id="2" name="Trade Date" tableColumnId="2"/>
      <queryTableField id="3" name="Trade Type" tableColumnId="3"/>
      <queryTableField id="4" name="Quantity" tableColumnId="4"/>
      <queryTableField id="5" name="Price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FBCE7-E047-44B6-B04B-9BF3D9730C52}" name="Tradebook_2023_2026" displayName="Tradebook_2023_2026" ref="A1:F832" tableType="queryTable" totalsRowShown="0">
  <autoFilter ref="A1:F832" xr:uid="{D76FBCE7-E047-44B6-B04B-9BF3D9730C52}"/>
  <tableColumns count="6">
    <tableColumn id="1" xr3:uid="{EFDB1057-83A0-46B6-8A65-B51B0D52E5AA}" uniqueName="1" name="Symbol" queryTableFieldId="1" dataDxfId="4"/>
    <tableColumn id="2" xr3:uid="{010689F7-C928-42AB-81AE-BFFCE1DC205F}" uniqueName="2" name="Trade Date" queryTableFieldId="2" dataDxfId="3"/>
    <tableColumn id="3" xr3:uid="{B8D9A786-AAFC-429B-A833-F4C373934E58}" uniqueName="3" name="Trade Type" queryTableFieldId="3" dataDxfId="2"/>
    <tableColumn id="4" xr3:uid="{49633097-FF04-4ADA-9313-BF58160380D9}" uniqueName="4" name="Quantity" queryTableFieldId="4"/>
    <tableColumn id="5" xr3:uid="{9991B5FF-CE1D-4B0C-80A5-B17972E590D7}" uniqueName="5" name="Price" queryTableFieldId="5"/>
    <tableColumn id="6" xr3:uid="{FD55FBE1-8115-4118-B0D6-9CCB814BDD4A}" uniqueName="6" name="Cashflow" queryTableFieldId="6" dataDxfId="1">
      <calculatedColumnFormula>IF(Tradebook_2023_2026[[#This Row],[Trade Type]]="buy",-(Tradebook_2023_2026[[#This Row],[Quantity]]*Tradebook_2023_2026[[#This Row],[Price]]),(Tradebook_2023_2026[[#This Row],[Quantity]]*Tradebook_2023_2026[[#This Row],[Price]]))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C885C5-FB4F-46B0-B513-DC6A8F97D9D9}" name="Table3" displayName="Table3" ref="B2:H115" totalsRowShown="0">
  <autoFilter ref="B2:H115" xr:uid="{71C885C5-FB4F-46B0-B513-DC6A8F97D9D9}">
    <filterColumn colId="6">
      <customFilters>
        <customFilter operator="greaterThan" val="0"/>
      </customFilters>
    </filterColumn>
  </autoFilter>
  <tableColumns count="7">
    <tableColumn id="1" xr3:uid="{53F5C4B2-040F-455A-B030-41502B751198}" name="Symbols"/>
    <tableColumn id="2" xr3:uid="{4F32E952-EF72-42CE-80F3-37BAEDA498C4}" name="Buy QTY"/>
    <tableColumn id="3" xr3:uid="{81881BE0-D0F7-4971-9C5E-098722E7ADD9}" name="Buy Price"/>
    <tableColumn id="4" xr3:uid="{7638097E-D13C-4CB4-BC90-8583347BF455}" name="Sell QTY"/>
    <tableColumn id="5" xr3:uid="{79F39BA2-D0F5-434B-8BED-4A8129D4996D}" name="Sell Price"/>
    <tableColumn id="6" xr3:uid="{7F148BAB-DBED-4B40-A6B6-54AC921D3460}" name="Sum of Cashflow"/>
    <tableColumn id="7" xr3:uid="{EFBB83B8-220C-4767-95B8-A0E067C942F9}" name="diffrence" dataDxfId="0">
      <calculatedColumnFormula>Table3[[#This Row],[Buy QTY]]-Table3[[#This Row],[Sell QTY]]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494E-7A17-4797-AFEE-66D49BAA9C9A}">
  <sheetPr>
    <tabColor rgb="FFFF0000"/>
  </sheetPr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179D-761A-438D-B8FC-FCBA8670AA05}">
  <dimension ref="B4:J157"/>
  <sheetViews>
    <sheetView showGridLines="0" tabSelected="1" workbookViewId="0">
      <pane ySplit="8" topLeftCell="A9" activePane="bottomLeft" state="frozen"/>
      <selection pane="bottomLeft" activeCell="J4" sqref="J4"/>
    </sheetView>
  </sheetViews>
  <sheetFormatPr defaultRowHeight="14.25"/>
  <cols>
    <col min="1" max="1" width="1.73046875" customWidth="1"/>
    <col min="2" max="2" width="9.9296875" bestFit="1" customWidth="1"/>
    <col min="3" max="3" width="13.86328125" bestFit="1" customWidth="1"/>
    <col min="4" max="4" width="13.86328125" customWidth="1"/>
    <col min="5" max="5" width="9.796875" bestFit="1" customWidth="1"/>
    <col min="9" max="9" width="25" bestFit="1" customWidth="1"/>
    <col min="10" max="10" width="13.3984375" customWidth="1"/>
  </cols>
  <sheetData>
    <row r="4" spans="2:10" ht="18">
      <c r="I4" s="8" t="s">
        <v>134</v>
      </c>
      <c r="J4" s="14">
        <v>0.54177841535970539</v>
      </c>
    </row>
    <row r="5" spans="2:10" ht="18">
      <c r="I5" s="8" t="s">
        <v>135</v>
      </c>
      <c r="J5" s="15">
        <f>SUM(E9:E156)</f>
        <v>4.6369095798581839E-6</v>
      </c>
    </row>
    <row r="6" spans="2:10" ht="18">
      <c r="I6" s="8" t="s">
        <v>136</v>
      </c>
      <c r="J6" s="14">
        <f>J4</f>
        <v>0.54177841535970539</v>
      </c>
    </row>
    <row r="8" spans="2:10">
      <c r="B8" s="19" t="s">
        <v>133</v>
      </c>
      <c r="C8" s="17" t="s">
        <v>126</v>
      </c>
      <c r="D8" s="17" t="s">
        <v>2</v>
      </c>
      <c r="E8" s="17" t="s">
        <v>132</v>
      </c>
    </row>
    <row r="9" spans="2:10">
      <c r="B9" s="5">
        <v>45026</v>
      </c>
      <c r="C9" s="6">
        <v>20880</v>
      </c>
      <c r="D9" s="6" t="str">
        <f>IF(C9&gt;0,"sell","buy")</f>
        <v>sell</v>
      </c>
      <c r="E9" s="6">
        <f>C9/(1+$J$4)^((B9-$B$9)/365)</f>
        <v>20880</v>
      </c>
    </row>
    <row r="10" spans="2:10">
      <c r="B10" s="5">
        <v>45028</v>
      </c>
      <c r="C10" s="6">
        <v>9588.2799999999988</v>
      </c>
      <c r="D10" s="6" t="str">
        <f t="shared" ref="D10:D73" si="0">IF(C10&gt;0,"sell","buy")</f>
        <v>sell</v>
      </c>
      <c r="E10" s="6">
        <f>C10/(1+$J$4)^((B10-$B$9)/365)</f>
        <v>9565.56111152212</v>
      </c>
    </row>
    <row r="11" spans="2:10">
      <c r="B11" s="5">
        <v>45029</v>
      </c>
      <c r="C11" s="6">
        <v>10608.549999999997</v>
      </c>
      <c r="D11" s="6" t="str">
        <f t="shared" si="0"/>
        <v>sell</v>
      </c>
      <c r="E11" s="6">
        <f>C11/(1+$J$4)^((B11-$B$9)/365)</f>
        <v>10570.867802506573</v>
      </c>
    </row>
    <row r="12" spans="2:10">
      <c r="B12" s="5">
        <v>45034</v>
      </c>
      <c r="C12" s="6">
        <v>145280</v>
      </c>
      <c r="D12" s="6" t="str">
        <f t="shared" si="0"/>
        <v>sell</v>
      </c>
      <c r="E12" s="6">
        <f>C12/(1+$J$4)^((B12-$B$9)/365)</f>
        <v>143907.95506226667</v>
      </c>
    </row>
    <row r="13" spans="2:10">
      <c r="B13" s="5">
        <v>45035</v>
      </c>
      <c r="C13" s="6">
        <v>58863.9</v>
      </c>
      <c r="D13" s="6" t="str">
        <f t="shared" si="0"/>
        <v>sell</v>
      </c>
      <c r="E13" s="6">
        <f>C13/(1+$J$4)^((B13-$B$9)/365)</f>
        <v>58238.861270950365</v>
      </c>
    </row>
    <row r="14" spans="2:10">
      <c r="B14" s="5">
        <v>45036</v>
      </c>
      <c r="C14" s="6">
        <v>1300</v>
      </c>
      <c r="D14" s="6" t="str">
        <f t="shared" si="0"/>
        <v>sell</v>
      </c>
      <c r="E14" s="6">
        <f>C14/(1+$J$4)^((B14-$B$9)/365)</f>
        <v>1284.6714294250085</v>
      </c>
    </row>
    <row r="15" spans="2:10">
      <c r="B15" s="5">
        <v>45037</v>
      </c>
      <c r="C15" s="6">
        <v>18880.5</v>
      </c>
      <c r="D15" s="6" t="str">
        <f t="shared" si="0"/>
        <v>sell</v>
      </c>
      <c r="E15" s="6">
        <f>C15/(1+$J$4)^((B15-$B$9)/365)</f>
        <v>18635.758593147795</v>
      </c>
    </row>
    <row r="16" spans="2:10">
      <c r="B16" s="5">
        <v>45049</v>
      </c>
      <c r="C16" s="6">
        <v>116000</v>
      </c>
      <c r="D16" s="6" t="str">
        <f t="shared" si="0"/>
        <v>sell</v>
      </c>
      <c r="E16" s="6">
        <f>C16/(1+$J$4)^((B16-$B$9)/365)</f>
        <v>112878.18821259864</v>
      </c>
    </row>
    <row r="17" spans="2:5">
      <c r="B17" s="5">
        <v>45051</v>
      </c>
      <c r="C17" s="6">
        <v>825.5</v>
      </c>
      <c r="D17" s="6" t="str">
        <f t="shared" si="0"/>
        <v>sell</v>
      </c>
      <c r="E17" s="6">
        <f>C17/(1+$J$4)^((B17-$B$9)/365)</f>
        <v>801.38066706203426</v>
      </c>
    </row>
    <row r="18" spans="2:5">
      <c r="B18" s="5">
        <v>45061</v>
      </c>
      <c r="C18" s="6">
        <v>69138.2</v>
      </c>
      <c r="D18" s="6" t="str">
        <f t="shared" si="0"/>
        <v>sell</v>
      </c>
      <c r="E18" s="6">
        <f>C18/(1+$J$4)^((B18-$B$9)/365)</f>
        <v>66326.726782618614</v>
      </c>
    </row>
    <row r="19" spans="2:5">
      <c r="B19" s="5">
        <v>45062</v>
      </c>
      <c r="C19" s="6">
        <v>-70000</v>
      </c>
      <c r="D19" s="6" t="str">
        <f t="shared" si="0"/>
        <v>buy</v>
      </c>
      <c r="E19" s="6">
        <f>C19/(1+$J$4)^((B19-$B$9)/365)</f>
        <v>-67073.87670404285</v>
      </c>
    </row>
    <row r="20" spans="2:5">
      <c r="B20" s="5">
        <v>45063</v>
      </c>
      <c r="C20" s="6">
        <v>-51449.999999999993</v>
      </c>
      <c r="D20" s="6" t="str">
        <f t="shared" si="0"/>
        <v>buy</v>
      </c>
      <c r="E20" s="6">
        <f>C20/(1+$J$4)^((B20-$B$9)/365)</f>
        <v>-49240.858784844102</v>
      </c>
    </row>
    <row r="21" spans="2:5">
      <c r="B21" s="5">
        <v>45065</v>
      </c>
      <c r="C21" s="6">
        <v>-149059.5</v>
      </c>
      <c r="D21" s="6" t="str">
        <f t="shared" si="0"/>
        <v>buy</v>
      </c>
      <c r="E21" s="6">
        <f>C21/(1+$J$4)^((B21-$B$9)/365)</f>
        <v>-142321.21488643714</v>
      </c>
    </row>
    <row r="22" spans="2:5">
      <c r="B22" s="5">
        <v>45068</v>
      </c>
      <c r="C22" s="6">
        <v>-90880</v>
      </c>
      <c r="D22" s="6" t="str">
        <f t="shared" si="0"/>
        <v>buy</v>
      </c>
      <c r="E22" s="6">
        <f>C22/(1+$J$4)^((B22-$B$9)/365)</f>
        <v>-86463.520509621332</v>
      </c>
    </row>
    <row r="23" spans="2:5">
      <c r="B23" s="5">
        <v>45069</v>
      </c>
      <c r="C23" s="6">
        <v>45955.5</v>
      </c>
      <c r="D23" s="6" t="str">
        <f t="shared" si="0"/>
        <v>sell</v>
      </c>
      <c r="E23" s="6">
        <f>C23/(1+$J$4)^((B23-$B$9)/365)</f>
        <v>43670.379218227106</v>
      </c>
    </row>
    <row r="24" spans="2:5">
      <c r="B24" s="5">
        <v>45071</v>
      </c>
      <c r="C24" s="6">
        <v>123475.44999999992</v>
      </c>
      <c r="D24" s="6" t="str">
        <f t="shared" si="0"/>
        <v>sell</v>
      </c>
      <c r="E24" s="6">
        <f>C24/(1+$J$4)^((B24-$B$9)/365)</f>
        <v>117057.6571952597</v>
      </c>
    </row>
    <row r="25" spans="2:5">
      <c r="B25" s="5">
        <v>45075</v>
      </c>
      <c r="C25" s="6">
        <v>-40640</v>
      </c>
      <c r="D25" s="6" t="str">
        <f t="shared" si="0"/>
        <v>buy</v>
      </c>
      <c r="E25" s="6">
        <f>C25/(1+$J$4)^((B25-$B$9)/365)</f>
        <v>-38345.322514259497</v>
      </c>
    </row>
    <row r="26" spans="2:5">
      <c r="B26" s="5">
        <v>45079</v>
      </c>
      <c r="C26" s="6">
        <v>31432.559999999998</v>
      </c>
      <c r="D26" s="6" t="str">
        <f t="shared" si="0"/>
        <v>sell</v>
      </c>
      <c r="E26" s="6">
        <f>C26/(1+$J$4)^((B26-$B$9)/365)</f>
        <v>29517.388689678148</v>
      </c>
    </row>
    <row r="27" spans="2:5">
      <c r="B27" s="5">
        <v>45082</v>
      </c>
      <c r="C27" s="6">
        <v>54095.65</v>
      </c>
      <c r="D27" s="6" t="str">
        <f t="shared" si="0"/>
        <v>sell</v>
      </c>
      <c r="E27" s="6">
        <f>C27/(1+$J$4)^((B27-$B$9)/365)</f>
        <v>50619.183839154699</v>
      </c>
    </row>
    <row r="28" spans="2:5">
      <c r="B28" s="5">
        <v>45083</v>
      </c>
      <c r="C28" s="6">
        <v>-17800</v>
      </c>
      <c r="D28" s="6" t="str">
        <f t="shared" si="0"/>
        <v>buy</v>
      </c>
      <c r="E28" s="6">
        <f>C28/(1+$J$4)^((B28-$B$9)/365)</f>
        <v>-16636.335444611366</v>
      </c>
    </row>
    <row r="29" spans="2:5">
      <c r="B29" s="5">
        <v>45089</v>
      </c>
      <c r="C29" s="6">
        <v>-93727.6</v>
      </c>
      <c r="D29" s="6" t="str">
        <f t="shared" si="0"/>
        <v>buy</v>
      </c>
      <c r="E29" s="6">
        <f>C29/(1+$J$4)^((B29-$B$9)/365)</f>
        <v>-86978.996126021564</v>
      </c>
    </row>
    <row r="30" spans="2:5">
      <c r="B30" s="5">
        <v>45092</v>
      </c>
      <c r="C30" s="6">
        <v>-67200</v>
      </c>
      <c r="D30" s="6" t="str">
        <f t="shared" si="0"/>
        <v>buy</v>
      </c>
      <c r="E30" s="6">
        <f>C30/(1+$J$4)^((B30-$B$9)/365)</f>
        <v>-62139.933108556688</v>
      </c>
    </row>
    <row r="31" spans="2:5">
      <c r="B31" s="5">
        <v>45097</v>
      </c>
      <c r="C31" s="6">
        <v>-19020.2</v>
      </c>
      <c r="D31" s="6" t="str">
        <f t="shared" si="0"/>
        <v>buy</v>
      </c>
      <c r="E31" s="6">
        <f>C31/(1+$J$4)^((B31-$B$9)/365)</f>
        <v>-17484.005899080959</v>
      </c>
    </row>
    <row r="32" spans="2:5">
      <c r="B32" s="5">
        <v>45100</v>
      </c>
      <c r="C32" s="6">
        <v>-12675</v>
      </c>
      <c r="D32" s="6" t="str">
        <f t="shared" si="0"/>
        <v>buy</v>
      </c>
      <c r="E32" s="6">
        <f>C32/(1+$J$4)^((B32-$B$9)/365)</f>
        <v>-11609.899145873294</v>
      </c>
    </row>
    <row r="33" spans="2:5">
      <c r="B33" s="5">
        <v>45103</v>
      </c>
      <c r="C33" s="6">
        <v>-35342.399999999994</v>
      </c>
      <c r="D33" s="6" t="str">
        <f t="shared" si="0"/>
        <v>buy</v>
      </c>
      <c r="E33" s="6">
        <f>C33/(1+$J$4)^((B33-$B$9)/365)</f>
        <v>-32257.531566888985</v>
      </c>
    </row>
    <row r="34" spans="2:5">
      <c r="B34" s="5">
        <v>45112</v>
      </c>
      <c r="C34" s="6">
        <v>-142821.35999999999</v>
      </c>
      <c r="D34" s="6" t="str">
        <f t="shared" si="0"/>
        <v>buy</v>
      </c>
      <c r="E34" s="6">
        <f>C34/(1+$J$4)^((B34-$B$9)/365)</f>
        <v>-128971.00955830111</v>
      </c>
    </row>
    <row r="35" spans="2:5">
      <c r="B35" s="5">
        <v>45113</v>
      </c>
      <c r="C35" s="6">
        <v>13884.25</v>
      </c>
      <c r="D35" s="6" t="str">
        <f t="shared" si="0"/>
        <v>sell</v>
      </c>
      <c r="E35" s="6">
        <f>C35/(1+$J$4)^((B35-$B$9)/365)</f>
        <v>12522.93802965633</v>
      </c>
    </row>
    <row r="36" spans="2:5">
      <c r="B36" s="5">
        <v>45128</v>
      </c>
      <c r="C36" s="6">
        <v>-63800</v>
      </c>
      <c r="D36" s="6" t="str">
        <f t="shared" si="0"/>
        <v>buy</v>
      </c>
      <c r="E36" s="6">
        <f>C36/(1+$J$4)^((B36-$B$9)/365)</f>
        <v>-56529.81384094114</v>
      </c>
    </row>
    <row r="37" spans="2:5">
      <c r="B37" s="5">
        <v>45131</v>
      </c>
      <c r="C37" s="6">
        <v>-49196</v>
      </c>
      <c r="D37" s="6" t="str">
        <f t="shared" si="0"/>
        <v>buy</v>
      </c>
      <c r="E37" s="6">
        <f>C37/(1+$J$4)^((B37-$B$9)/365)</f>
        <v>-43435.145775432298</v>
      </c>
    </row>
    <row r="38" spans="2:5">
      <c r="B38" s="5">
        <v>45135</v>
      </c>
      <c r="C38" s="6">
        <v>-54064.5</v>
      </c>
      <c r="D38" s="6" t="str">
        <f t="shared" si="0"/>
        <v>buy</v>
      </c>
      <c r="E38" s="6">
        <f>C38/(1+$J$4)^((B38-$B$9)/365)</f>
        <v>-47507.608274931474</v>
      </c>
    </row>
    <row r="39" spans="2:5">
      <c r="B39" s="5">
        <v>45138</v>
      </c>
      <c r="C39" s="6">
        <v>-19861.449999999997</v>
      </c>
      <c r="D39" s="6" t="str">
        <f t="shared" si="0"/>
        <v>buy</v>
      </c>
      <c r="E39" s="6">
        <f>C39/(1+$J$4)^((B39-$B$9)/365)</f>
        <v>-17390.679095025509</v>
      </c>
    </row>
    <row r="40" spans="2:5">
      <c r="B40" s="5">
        <v>45142</v>
      </c>
      <c r="C40" s="6">
        <v>-161522</v>
      </c>
      <c r="D40" s="6" t="str">
        <f t="shared" si="0"/>
        <v>buy</v>
      </c>
      <c r="E40" s="6">
        <f>C40/(1+$J$4)^((B40-$B$9)/365)</f>
        <v>-140759.18992915296</v>
      </c>
    </row>
    <row r="41" spans="2:5">
      <c r="B41" s="5">
        <v>45152</v>
      </c>
      <c r="C41" s="6">
        <v>-138813.75</v>
      </c>
      <c r="D41" s="6" t="str">
        <f t="shared" si="0"/>
        <v>buy</v>
      </c>
      <c r="E41" s="6">
        <f>C41/(1+$J$4)^((B41-$B$9)/365)</f>
        <v>-119543.58488755699</v>
      </c>
    </row>
    <row r="42" spans="2:5">
      <c r="B42" s="5">
        <v>45160</v>
      </c>
      <c r="C42" s="6">
        <v>-50533.200000000004</v>
      </c>
      <c r="D42" s="6" t="str">
        <f t="shared" si="0"/>
        <v>buy</v>
      </c>
      <c r="E42" s="6">
        <f>C42/(1+$J$4)^((B42-$B$9)/365)</f>
        <v>-43107.174751394385</v>
      </c>
    </row>
    <row r="43" spans="2:5">
      <c r="B43" s="5">
        <v>45181</v>
      </c>
      <c r="C43" s="6">
        <v>-86317</v>
      </c>
      <c r="D43" s="6" t="str">
        <f t="shared" si="0"/>
        <v>buy</v>
      </c>
      <c r="E43" s="6">
        <f>C43/(1+$J$4)^((B43-$B$9)/365)</f>
        <v>-71820.991326585703</v>
      </c>
    </row>
    <row r="44" spans="2:5">
      <c r="B44" s="5">
        <v>45187</v>
      </c>
      <c r="C44" s="6">
        <v>-10502.85</v>
      </c>
      <c r="D44" s="6" t="str">
        <f t="shared" si="0"/>
        <v>buy</v>
      </c>
      <c r="E44" s="6">
        <f>C44/(1+$J$4)^((B44-$B$9)/365)</f>
        <v>-8677.0369842942491</v>
      </c>
    </row>
    <row r="45" spans="2:5">
      <c r="B45" s="5">
        <v>45191</v>
      </c>
      <c r="C45" s="6">
        <v>-59812.5</v>
      </c>
      <c r="D45" s="6" t="str">
        <f t="shared" si="0"/>
        <v>buy</v>
      </c>
      <c r="E45" s="6">
        <f>C45/(1+$J$4)^((B45-$B$9)/365)</f>
        <v>-49180.8155269493</v>
      </c>
    </row>
    <row r="46" spans="2:5">
      <c r="B46" s="5">
        <v>45217</v>
      </c>
      <c r="C46" s="6">
        <v>40537</v>
      </c>
      <c r="D46" s="6" t="str">
        <f t="shared" si="0"/>
        <v>sell</v>
      </c>
      <c r="E46" s="6">
        <f>C46/(1+$J$4)^((B46-$B$9)/365)</f>
        <v>32319.306310177504</v>
      </c>
    </row>
    <row r="47" spans="2:5">
      <c r="B47" s="5">
        <v>45225</v>
      </c>
      <c r="C47" s="6">
        <v>-76407.199999999983</v>
      </c>
      <c r="D47" s="6" t="str">
        <f t="shared" si="0"/>
        <v>buy</v>
      </c>
      <c r="E47" s="6">
        <f>C47/(1+$J$4)^((B47-$B$9)/365)</f>
        <v>-60342.553110478577</v>
      </c>
    </row>
    <row r="48" spans="2:5">
      <c r="B48" s="5">
        <v>45230</v>
      </c>
      <c r="C48" s="6">
        <v>-5706</v>
      </c>
      <c r="D48" s="6" t="str">
        <f t="shared" si="0"/>
        <v>buy</v>
      </c>
      <c r="E48" s="6">
        <f>C48/(1+$J$4)^((B48-$B$9)/365)</f>
        <v>-4479.6648226232719</v>
      </c>
    </row>
    <row r="49" spans="2:5">
      <c r="B49" s="5">
        <v>45231</v>
      </c>
      <c r="C49" s="6">
        <v>-63632.950000000004</v>
      </c>
      <c r="D49" s="6" t="str">
        <f t="shared" si="0"/>
        <v>buy</v>
      </c>
      <c r="E49" s="6">
        <f>C49/(1+$J$4)^((B49-$B$9)/365)</f>
        <v>-49897.71772965468</v>
      </c>
    </row>
    <row r="50" spans="2:5">
      <c r="B50" s="5">
        <v>45242</v>
      </c>
      <c r="C50" s="6">
        <v>-19580</v>
      </c>
      <c r="D50" s="6" t="str">
        <f t="shared" si="0"/>
        <v>buy</v>
      </c>
      <c r="E50" s="6">
        <f>C50/(1+$J$4)^((B50-$B$9)/365)</f>
        <v>-15154.614615316203</v>
      </c>
    </row>
    <row r="51" spans="2:5">
      <c r="B51" s="5">
        <v>45247</v>
      </c>
      <c r="C51" s="6">
        <v>-25988.3</v>
      </c>
      <c r="D51" s="6" t="str">
        <f t="shared" si="0"/>
        <v>buy</v>
      </c>
      <c r="E51" s="6">
        <f>C51/(1+$J$4)^((B51-$B$9)/365)</f>
        <v>-19995.599861099625</v>
      </c>
    </row>
    <row r="52" spans="2:5">
      <c r="B52" s="5">
        <v>45455</v>
      </c>
      <c r="C52" s="6">
        <v>-30202.239999999947</v>
      </c>
      <c r="D52" s="6" t="str">
        <f t="shared" si="0"/>
        <v>buy</v>
      </c>
      <c r="E52" s="6">
        <f>C52/(1+$J$4)^((B52-$B$9)/365)</f>
        <v>-18157.203402083327</v>
      </c>
    </row>
    <row r="53" spans="2:5">
      <c r="B53" s="5">
        <v>45456</v>
      </c>
      <c r="C53" s="6">
        <v>59218.2</v>
      </c>
      <c r="D53" s="6" t="str">
        <f t="shared" si="0"/>
        <v>sell</v>
      </c>
      <c r="E53" s="6">
        <f>C53/(1+$J$4)^((B53-$B$9)/365)</f>
        <v>35559.027755555726</v>
      </c>
    </row>
    <row r="54" spans="2:5">
      <c r="B54" s="5">
        <v>45462</v>
      </c>
      <c r="C54" s="6">
        <v>-99968.599999999991</v>
      </c>
      <c r="D54" s="6" t="str">
        <f t="shared" si="0"/>
        <v>buy</v>
      </c>
      <c r="E54" s="6">
        <f>C54/(1+$J$4)^((B54-$B$9)/365)</f>
        <v>-59602.916859088306</v>
      </c>
    </row>
    <row r="55" spans="2:5">
      <c r="B55" s="5">
        <v>45474</v>
      </c>
      <c r="C55" s="6">
        <v>-498927.85</v>
      </c>
      <c r="D55" s="6" t="str">
        <f t="shared" si="0"/>
        <v>buy</v>
      </c>
      <c r="E55" s="6">
        <f>C55/(1+$J$4)^((B55-$B$9)/365)</f>
        <v>-293264.91344784875</v>
      </c>
    </row>
    <row r="56" spans="2:5">
      <c r="B56" s="5">
        <v>45477</v>
      </c>
      <c r="C56" s="6">
        <v>-511691.46</v>
      </c>
      <c r="D56" s="6" t="str">
        <f t="shared" si="0"/>
        <v>buy</v>
      </c>
      <c r="E56" s="6">
        <f>C56/(1+$J$4)^((B56-$B$9)/365)</f>
        <v>-299698.89561430516</v>
      </c>
    </row>
    <row r="57" spans="2:5">
      <c r="B57" s="5">
        <v>45495</v>
      </c>
      <c r="C57" s="6">
        <v>-3509332.1000000006</v>
      </c>
      <c r="D57" s="6" t="str">
        <f t="shared" si="0"/>
        <v>buy</v>
      </c>
      <c r="E57" s="6">
        <f>C57/(1+$J$4)^((B57-$B$9)/365)</f>
        <v>-2012005.3297992626</v>
      </c>
    </row>
    <row r="58" spans="2:5">
      <c r="B58" s="5">
        <v>45602</v>
      </c>
      <c r="C58" s="6">
        <v>-1290207.3099999998</v>
      </c>
      <c r="D58" s="6" t="str">
        <f t="shared" si="0"/>
        <v>buy</v>
      </c>
      <c r="E58" s="6">
        <f>C58/(1+$J$4)^((B58-$B$9)/365)</f>
        <v>-651546.45974495646</v>
      </c>
    </row>
    <row r="59" spans="2:5">
      <c r="B59" s="5">
        <v>45604</v>
      </c>
      <c r="C59" s="6">
        <v>-99045</v>
      </c>
      <c r="D59" s="6" t="str">
        <f t="shared" si="0"/>
        <v>buy</v>
      </c>
      <c r="E59" s="6">
        <f>C59/(1+$J$4)^((B59-$B$9)/365)</f>
        <v>-49898.580391212046</v>
      </c>
    </row>
    <row r="60" spans="2:5">
      <c r="B60" s="5">
        <v>45609</v>
      </c>
      <c r="C60" s="6">
        <v>-99882.05</v>
      </c>
      <c r="D60" s="6" t="str">
        <f t="shared" si="0"/>
        <v>buy</v>
      </c>
      <c r="E60" s="6">
        <f>C60/(1+$J$4)^((B60-$B$9)/365)</f>
        <v>-50022.735541765258</v>
      </c>
    </row>
    <row r="61" spans="2:5">
      <c r="B61" s="5">
        <v>45709</v>
      </c>
      <c r="C61" s="6">
        <v>113600</v>
      </c>
      <c r="D61" s="6" t="str">
        <f t="shared" si="0"/>
        <v>sell</v>
      </c>
      <c r="E61" s="6">
        <f>C61/(1+$J$4)^((B61-$B$9)/365)</f>
        <v>50529.552935169944</v>
      </c>
    </row>
    <row r="62" spans="2:5">
      <c r="B62" s="5">
        <v>46054</v>
      </c>
      <c r="C62" s="6">
        <v>10882.699999999999</v>
      </c>
      <c r="D62" s="6" t="str">
        <f t="shared" si="0"/>
        <v>sell</v>
      </c>
      <c r="E62" s="6">
        <f>C62/(1+$J$4)^((B62-$B$9)/365)</f>
        <v>3215.0252905633342</v>
      </c>
    </row>
    <row r="63" spans="2:5">
      <c r="B63" s="5">
        <v>46055</v>
      </c>
      <c r="C63" s="6">
        <v>5305</v>
      </c>
      <c r="D63" s="6" t="str">
        <f t="shared" si="0"/>
        <v>sell</v>
      </c>
      <c r="E63" s="6">
        <f>C63/(1+$J$4)^((B63-$B$9)/365)</f>
        <v>1565.3735665367437</v>
      </c>
    </row>
    <row r="64" spans="2:5">
      <c r="B64" s="5">
        <v>46056</v>
      </c>
      <c r="C64" s="6">
        <v>1873881.9000000001</v>
      </c>
      <c r="D64" s="6" t="str">
        <f t="shared" si="0"/>
        <v>sell</v>
      </c>
      <c r="E64" s="6">
        <f>C64/(1+$J$4)^((B64-$B$9)/365)</f>
        <v>552280.48214895837</v>
      </c>
    </row>
    <row r="65" spans="2:5">
      <c r="B65" s="5">
        <v>46057</v>
      </c>
      <c r="C65" s="6">
        <v>-82990.400000000009</v>
      </c>
      <c r="D65" s="6" t="str">
        <f t="shared" si="0"/>
        <v>buy</v>
      </c>
      <c r="E65" s="6">
        <f>C65/(1+$J$4)^((B65-$B$9)/365)</f>
        <v>-24430.379208791237</v>
      </c>
    </row>
    <row r="66" spans="2:5">
      <c r="B66" s="5">
        <v>46058</v>
      </c>
      <c r="C66" s="6">
        <v>-1522.65</v>
      </c>
      <c r="D66" s="6" t="str">
        <f t="shared" si="0"/>
        <v>buy</v>
      </c>
      <c r="E66" s="6">
        <f>C66/(1+$J$4)^((B66-$B$9)/365)</f>
        <v>-447.70022072834371</v>
      </c>
    </row>
    <row r="67" spans="2:5">
      <c r="B67" s="5">
        <v>46059</v>
      </c>
      <c r="C67" s="6">
        <v>-100200</v>
      </c>
      <c r="D67" s="6" t="str">
        <f t="shared" si="0"/>
        <v>buy</v>
      </c>
      <c r="E67" s="6">
        <f>C67/(1+$J$4)^((B67-$B$9)/365)</f>
        <v>-29426.581615770312</v>
      </c>
    </row>
    <row r="68" spans="2:5">
      <c r="B68" s="5">
        <v>46062</v>
      </c>
      <c r="C68" s="6">
        <v>-777868.75</v>
      </c>
      <c r="D68" s="6" t="str">
        <f t="shared" si="0"/>
        <v>buy</v>
      </c>
      <c r="E68" s="6">
        <f>C68/(1+$J$4)^((B68-$B$9)/365)</f>
        <v>-227631.85188199914</v>
      </c>
    </row>
    <row r="69" spans="2:5">
      <c r="B69" s="5">
        <v>46064</v>
      </c>
      <c r="C69" s="6">
        <v>21313.1299</v>
      </c>
      <c r="D69" s="6" t="str">
        <f t="shared" si="0"/>
        <v>sell</v>
      </c>
      <c r="E69" s="6">
        <f>C69/(1+$J$4)^((B69-$B$9)/365)</f>
        <v>6222.1959181553802</v>
      </c>
    </row>
    <row r="70" spans="2:5">
      <c r="B70" s="5">
        <v>46065</v>
      </c>
      <c r="C70" s="6">
        <v>-189708.2</v>
      </c>
      <c r="D70" s="6" t="str">
        <f t="shared" si="0"/>
        <v>buy</v>
      </c>
      <c r="E70" s="6">
        <f>C70/(1+$J$4)^((B70-$B$9)/365)</f>
        <v>-55318.121569322619</v>
      </c>
    </row>
    <row r="71" spans="2:5">
      <c r="B71" s="5">
        <v>46069</v>
      </c>
      <c r="C71" s="6">
        <v>-572014.9</v>
      </c>
      <c r="D71" s="6" t="str">
        <f t="shared" si="0"/>
        <v>buy</v>
      </c>
      <c r="E71" s="6">
        <f>C71/(1+$J$4)^((B71-$B$9)/365)</f>
        <v>-166007.66766273053</v>
      </c>
    </row>
    <row r="72" spans="2:5">
      <c r="B72" s="5">
        <v>46070</v>
      </c>
      <c r="C72" s="6">
        <v>-199808</v>
      </c>
      <c r="D72" s="6" t="str">
        <f t="shared" si="0"/>
        <v>buy</v>
      </c>
      <c r="E72" s="6">
        <f>C72/(1+$J$4)^((B72-$B$9)/365)</f>
        <v>-57918.665992470669</v>
      </c>
    </row>
    <row r="73" spans="2:5">
      <c r="B73" s="5">
        <v>46072</v>
      </c>
      <c r="C73" s="6">
        <v>-193028.4</v>
      </c>
      <c r="D73" s="6" t="str">
        <f t="shared" si="0"/>
        <v>buy</v>
      </c>
      <c r="E73" s="6">
        <f>C73/(1+$J$4)^((B73-$B$9)/365)</f>
        <v>-55820.873899040242</v>
      </c>
    </row>
    <row r="74" spans="2:5">
      <c r="B74" s="5">
        <v>46076</v>
      </c>
      <c r="C74" s="6">
        <v>-59035</v>
      </c>
      <c r="D74" s="6" t="str">
        <f t="shared" ref="D74:D137" si="1">IF(C74&gt;0,"sell","buy")</f>
        <v>buy</v>
      </c>
      <c r="E74" s="6">
        <f>C74/(1+$J$4)^((B74-$B$9)/365)</f>
        <v>-16991.216488122591</v>
      </c>
    </row>
    <row r="75" spans="2:5">
      <c r="B75" s="5">
        <v>46083</v>
      </c>
      <c r="C75" s="6">
        <v>-930545.94</v>
      </c>
      <c r="D75" s="6" t="str">
        <f t="shared" si="1"/>
        <v>buy</v>
      </c>
      <c r="E75" s="6">
        <f>C75/(1+$J$4)^((B75-$B$9)/365)</f>
        <v>-265611.46899850684</v>
      </c>
    </row>
    <row r="76" spans="2:5">
      <c r="B76" s="5">
        <v>46085</v>
      </c>
      <c r="C76" s="6">
        <v>-377267</v>
      </c>
      <c r="D76" s="6" t="str">
        <f t="shared" si="1"/>
        <v>buy</v>
      </c>
      <c r="E76" s="6">
        <f>C76/(1+$J$4)^((B76-$B$9)/365)</f>
        <v>-107430.49243106686</v>
      </c>
    </row>
    <row r="77" spans="2:5">
      <c r="B77" s="5">
        <v>46087</v>
      </c>
      <c r="C77" s="6">
        <v>-130791.5</v>
      </c>
      <c r="D77" s="6" t="str">
        <f t="shared" si="1"/>
        <v>buy</v>
      </c>
      <c r="E77" s="6">
        <f>C77/(1+$J$4)^((B77-$B$9)/365)</f>
        <v>-37155.919309997735</v>
      </c>
    </row>
    <row r="78" spans="2:5">
      <c r="B78" s="5">
        <v>46090</v>
      </c>
      <c r="C78" s="6">
        <v>-422509.35259999998</v>
      </c>
      <c r="D78" s="6" t="str">
        <f t="shared" si="1"/>
        <v>buy</v>
      </c>
      <c r="E78" s="6">
        <f>C78/(1+$J$4)^((B78-$B$9)/365)</f>
        <v>-119602.27245802878</v>
      </c>
    </row>
    <row r="79" spans="2:5">
      <c r="B79" s="5">
        <v>46091</v>
      </c>
      <c r="C79" s="6">
        <v>2590390</v>
      </c>
      <c r="D79" s="6" t="str">
        <f t="shared" si="1"/>
        <v>sell</v>
      </c>
      <c r="E79" s="6">
        <f>C79/(1+$J$4)^((B79-$B$9)/365)</f>
        <v>732408.08652383275</v>
      </c>
    </row>
    <row r="80" spans="2:5">
      <c r="B80" s="5">
        <v>46093</v>
      </c>
      <c r="C80" s="6">
        <v>-199875</v>
      </c>
      <c r="D80" s="6" t="str">
        <f t="shared" si="1"/>
        <v>buy</v>
      </c>
      <c r="E80" s="6">
        <f>C80/(1+$J$4)^((B80-$B$9)/365)</f>
        <v>-56378.847699137419</v>
      </c>
    </row>
    <row r="81" spans="2:5">
      <c r="B81" s="5">
        <v>46094</v>
      </c>
      <c r="C81" s="6">
        <v>-1235708</v>
      </c>
      <c r="D81" s="6" t="str">
        <f t="shared" si="1"/>
        <v>buy</v>
      </c>
      <c r="E81" s="6">
        <f>C81/(1+$J$4)^((B81-$B$9)/365)</f>
        <v>-348143.62591814675</v>
      </c>
    </row>
    <row r="82" spans="2:5">
      <c r="B82" s="5">
        <v>46097</v>
      </c>
      <c r="C82" s="6">
        <v>-1303364</v>
      </c>
      <c r="D82" s="6" t="str">
        <f t="shared" si="1"/>
        <v>buy</v>
      </c>
      <c r="E82" s="6">
        <f>C82/(1+$J$4)^((B82-$B$9)/365)</f>
        <v>-365900.43444262858</v>
      </c>
    </row>
    <row r="83" spans="2:5">
      <c r="B83" s="5">
        <v>46098</v>
      </c>
      <c r="C83" s="6">
        <v>53898.45</v>
      </c>
      <c r="D83" s="6" t="str">
        <f t="shared" si="1"/>
        <v>sell</v>
      </c>
      <c r="E83" s="6">
        <f>C83/(1+$J$4)^((B83-$B$9)/365)</f>
        <v>15113.266872006709</v>
      </c>
    </row>
    <row r="84" spans="2:5">
      <c r="B84" s="5">
        <v>46099</v>
      </c>
      <c r="C84" s="6">
        <v>462090.15</v>
      </c>
      <c r="D84" s="6" t="str">
        <f t="shared" si="1"/>
        <v>sell</v>
      </c>
      <c r="E84" s="6">
        <f>C84/(1+$J$4)^((B84-$B$9)/365)</f>
        <v>129417.69414949362</v>
      </c>
    </row>
    <row r="85" spans="2:5">
      <c r="B85" s="5">
        <v>46104</v>
      </c>
      <c r="C85" s="6">
        <v>-469087.5</v>
      </c>
      <c r="D85" s="6" t="str">
        <f t="shared" si="1"/>
        <v>buy</v>
      </c>
      <c r="E85" s="6">
        <f>C85/(1+$J$4)^((B85-$B$9)/365)</f>
        <v>-130600.5973968046</v>
      </c>
    </row>
    <row r="86" spans="2:5">
      <c r="B86" s="5">
        <v>46105</v>
      </c>
      <c r="C86" s="6">
        <v>-441757.80000000005</v>
      </c>
      <c r="D86" s="6" t="str">
        <f t="shared" si="1"/>
        <v>buy</v>
      </c>
      <c r="E86" s="6">
        <f>C86/(1+$J$4)^((B86-$B$9)/365)</f>
        <v>-122845.82494212488</v>
      </c>
    </row>
    <row r="87" spans="2:5">
      <c r="B87" s="5">
        <v>46108</v>
      </c>
      <c r="C87" s="6">
        <v>495490.30000000005</v>
      </c>
      <c r="D87" s="6" t="str">
        <f t="shared" si="1"/>
        <v>sell</v>
      </c>
      <c r="E87" s="6">
        <f>C87/(1+$J$4)^((B87-$B$9)/365)</f>
        <v>137298.54836018887</v>
      </c>
    </row>
    <row r="88" spans="2:5">
      <c r="B88" s="5">
        <v>46111</v>
      </c>
      <c r="C88" s="6">
        <v>-1344240.1787000003</v>
      </c>
      <c r="D88" s="6" t="str">
        <f t="shared" si="1"/>
        <v>buy</v>
      </c>
      <c r="E88" s="6">
        <f>C88/(1+$J$4)^((B88-$B$9)/365)</f>
        <v>-371160.94752072159</v>
      </c>
    </row>
    <row r="89" spans="2:5">
      <c r="B89" s="20">
        <v>46126</v>
      </c>
      <c r="C89" s="7">
        <f>Open_positions!G3</f>
        <v>210205</v>
      </c>
      <c r="D89" s="7" t="str">
        <f t="shared" si="1"/>
        <v>sell</v>
      </c>
      <c r="E89" s="7">
        <f>C89/(1+$J$4)^((B89-$B$9)/365)</f>
        <v>57016.626097555833</v>
      </c>
    </row>
    <row r="90" spans="2:5">
      <c r="B90" s="20">
        <v>46126</v>
      </c>
      <c r="C90" s="7">
        <f>Open_positions!G4</f>
        <v>111888</v>
      </c>
      <c r="D90" s="7" t="str">
        <f t="shared" si="1"/>
        <v>sell</v>
      </c>
      <c r="E90" s="7">
        <f>C90/(1+$J$4)^((B90-$B$9)/365)</f>
        <v>30348.832143875396</v>
      </c>
    </row>
    <row r="91" spans="2:5">
      <c r="B91" s="20">
        <v>46126</v>
      </c>
      <c r="C91" s="7">
        <f>Open_positions!G5</f>
        <v>194549.99999999997</v>
      </c>
      <c r="D91" s="7" t="str">
        <f t="shared" si="1"/>
        <v>sell</v>
      </c>
      <c r="E91" s="7">
        <f>C91/(1+$J$4)^((B91-$B$9)/365)</f>
        <v>52770.31758178676</v>
      </c>
    </row>
    <row r="92" spans="2:5">
      <c r="B92" s="20">
        <v>46126</v>
      </c>
      <c r="C92" s="7">
        <f>Open_positions!G6</f>
        <v>395379.6</v>
      </c>
      <c r="D92" s="7" t="str">
        <f t="shared" si="1"/>
        <v>sell</v>
      </c>
      <c r="E92" s="7">
        <f>C92/(1+$J$4)^((B92-$B$9)/365)</f>
        <v>107243.93244595127</v>
      </c>
    </row>
    <row r="93" spans="2:5">
      <c r="B93" s="20">
        <v>46126</v>
      </c>
      <c r="C93" s="7">
        <f>Open_positions!G7</f>
        <v>71580.599999999991</v>
      </c>
      <c r="D93" s="7" t="str">
        <f t="shared" si="1"/>
        <v>sell</v>
      </c>
      <c r="E93" s="7">
        <f>C93/(1+$J$4)^((B93-$B$9)/365)</f>
        <v>19415.733717269832</v>
      </c>
    </row>
    <row r="94" spans="2:5">
      <c r="B94" s="20">
        <v>46126</v>
      </c>
      <c r="C94" s="7">
        <f>Open_positions!G8</f>
        <v>985291.20000000007</v>
      </c>
      <c r="D94" s="7" t="str">
        <f t="shared" si="1"/>
        <v>sell</v>
      </c>
      <c r="E94" s="7">
        <f>C94/(1+$J$4)^((B94-$B$9)/365)</f>
        <v>267253.30010043579</v>
      </c>
    </row>
    <row r="95" spans="2:5">
      <c r="B95" s="20">
        <v>46126</v>
      </c>
      <c r="C95" s="7">
        <f>Open_positions!G9</f>
        <v>167240</v>
      </c>
      <c r="D95" s="7" t="str">
        <f t="shared" si="1"/>
        <v>sell</v>
      </c>
      <c r="E95" s="7">
        <f>C95/(1+$J$4)^((B95-$B$9)/365)</f>
        <v>45362.672384364014</v>
      </c>
    </row>
    <row r="96" spans="2:5">
      <c r="B96" s="20">
        <v>46126</v>
      </c>
      <c r="C96" s="7">
        <f>Open_positions!G10</f>
        <v>160468.75</v>
      </c>
      <c r="D96" s="7" t="str">
        <f t="shared" si="1"/>
        <v>sell</v>
      </c>
      <c r="E96" s="7">
        <f>C96/(1+$J$4)^((B96-$B$9)/365)</f>
        <v>43526.018501425577</v>
      </c>
    </row>
    <row r="97" spans="2:5">
      <c r="B97" s="20">
        <v>46126</v>
      </c>
      <c r="C97" s="7">
        <f>Open_positions!G11</f>
        <v>200504</v>
      </c>
      <c r="D97" s="7" t="str">
        <f t="shared" si="1"/>
        <v>sell</v>
      </c>
      <c r="E97" s="7">
        <f>C97/(1+$J$4)^((B97-$B$9)/365)</f>
        <v>54385.29815686751</v>
      </c>
    </row>
    <row r="98" spans="2:5">
      <c r="B98" s="20">
        <v>46126</v>
      </c>
      <c r="C98" s="7">
        <f>Open_positions!G12</f>
        <v>773437.70000000007</v>
      </c>
      <c r="D98" s="7" t="str">
        <f t="shared" si="1"/>
        <v>sell</v>
      </c>
      <c r="E98" s="7">
        <f>C98/(1+$J$4)^((B98-$B$9)/365)</f>
        <v>209789.52998574518</v>
      </c>
    </row>
    <row r="99" spans="2:5">
      <c r="B99" s="20">
        <v>46126</v>
      </c>
      <c r="C99" s="7">
        <f>Open_positions!G13</f>
        <v>411837.75</v>
      </c>
      <c r="D99" s="7" t="str">
        <f t="shared" si="1"/>
        <v>sell</v>
      </c>
      <c r="E99" s="7">
        <f>C99/(1+$J$4)^((B99-$B$9)/365)</f>
        <v>111708.08974386279</v>
      </c>
    </row>
    <row r="100" spans="2:5">
      <c r="B100" s="20">
        <v>46126</v>
      </c>
      <c r="C100" s="7">
        <f>Open_positions!G14</f>
        <v>411560.00000000006</v>
      </c>
      <c r="D100" s="7" t="str">
        <f t="shared" si="1"/>
        <v>sell</v>
      </c>
      <c r="E100" s="7">
        <f>C100/(1+$J$4)^((B100-$B$9)/365)</f>
        <v>111632.75201213142</v>
      </c>
    </row>
    <row r="101" spans="2:5">
      <c r="B101" s="20">
        <v>46126</v>
      </c>
      <c r="C101" s="7">
        <f>Open_positions!G15</f>
        <v>125542</v>
      </c>
      <c r="D101" s="7" t="str">
        <f t="shared" si="1"/>
        <v>sell</v>
      </c>
      <c r="E101" s="7">
        <f>C101/(1+$J$4)^((B101-$B$9)/365)</f>
        <v>34052.383499628246</v>
      </c>
    </row>
    <row r="102" spans="2:5">
      <c r="B102" s="20">
        <v>46126</v>
      </c>
      <c r="C102" s="7">
        <f>Open_positions!G16</f>
        <v>184931.25</v>
      </c>
      <c r="D102" s="7" t="str">
        <f t="shared" si="1"/>
        <v>sell</v>
      </c>
      <c r="E102" s="7">
        <f>C102/(1+$J$4)^((B102-$B$9)/365)</f>
        <v>50161.29937443744</v>
      </c>
    </row>
    <row r="103" spans="2:5">
      <c r="B103" s="20">
        <v>46126</v>
      </c>
      <c r="C103" s="7">
        <f>Open_positions!G17</f>
        <v>75092.399999999994</v>
      </c>
      <c r="D103" s="7" t="str">
        <f t="shared" si="1"/>
        <v>sell</v>
      </c>
      <c r="E103" s="7">
        <f>C103/(1+$J$4)^((B103-$B$9)/365)</f>
        <v>20368.284739031427</v>
      </c>
    </row>
    <row r="104" spans="2:5">
      <c r="B104" s="20">
        <v>46126</v>
      </c>
      <c r="C104" s="7">
        <f>Open_positions!G18</f>
        <v>184200</v>
      </c>
      <c r="D104" s="7" t="str">
        <f t="shared" si="1"/>
        <v>sell</v>
      </c>
      <c r="E104" s="7">
        <f>C104/(1+$J$4)^((B104-$B$9)/365)</f>
        <v>49962.952961013223</v>
      </c>
    </row>
    <row r="105" spans="2:5">
      <c r="B105" s="20">
        <v>46126</v>
      </c>
      <c r="C105" s="7">
        <f>Open_positions!G19</f>
        <v>310239.45</v>
      </c>
      <c r="D105" s="7" t="str">
        <f t="shared" si="1"/>
        <v>sell</v>
      </c>
      <c r="E105" s="7">
        <f>C105/(1+$J$4)^((B105-$B$9)/365)</f>
        <v>84150.266270361652</v>
      </c>
    </row>
    <row r="106" spans="2:5">
      <c r="B106" s="20">
        <v>46126</v>
      </c>
      <c r="C106" s="7">
        <f>Open_positions!G20</f>
        <v>3934.7999999999997</v>
      </c>
      <c r="D106" s="7" t="str">
        <f t="shared" si="1"/>
        <v>sell</v>
      </c>
      <c r="E106" s="7">
        <f>C106/(1+$J$4)^((B106-$B$9)/365)</f>
        <v>1067.2867932192987</v>
      </c>
    </row>
    <row r="107" spans="2:5">
      <c r="B107" s="20">
        <v>46126</v>
      </c>
      <c r="C107" s="7">
        <f>Open_positions!G21</f>
        <v>1173627</v>
      </c>
      <c r="D107" s="7" t="str">
        <f t="shared" si="1"/>
        <v>sell</v>
      </c>
      <c r="E107" s="7">
        <f>C107/(1+$J$4)^((B107-$B$9)/365)</f>
        <v>318338.05968933261</v>
      </c>
    </row>
    <row r="108" spans="2:5">
      <c r="B108" s="20">
        <v>46126</v>
      </c>
      <c r="C108" s="7">
        <f>Open_positions!G22</f>
        <v>292536</v>
      </c>
      <c r="D108" s="7" t="str">
        <f t="shared" si="1"/>
        <v>sell</v>
      </c>
      <c r="E108" s="7">
        <f>C108/(1+$J$4)^((B108-$B$9)/365)</f>
        <v>79348.330116194164</v>
      </c>
    </row>
    <row r="109" spans="2:5">
      <c r="B109" s="20">
        <v>46126</v>
      </c>
      <c r="C109" s="7">
        <f>Open_positions!G23</f>
        <v>191586</v>
      </c>
      <c r="D109" s="7" t="str">
        <f t="shared" si="1"/>
        <v>sell</v>
      </c>
      <c r="E109" s="7">
        <f>C109/(1+$J$4)^((B109-$B$9)/365)</f>
        <v>51966.353452707277</v>
      </c>
    </row>
    <row r="110" spans="2:5">
      <c r="B110" s="20">
        <v>46126</v>
      </c>
      <c r="C110" s="7">
        <f>Open_positions!G24</f>
        <v>186998</v>
      </c>
      <c r="D110" s="7" t="str">
        <f t="shared" si="1"/>
        <v>sell</v>
      </c>
      <c r="E110" s="7">
        <f>C110/(1+$J$4)^((B110-$B$9)/365)</f>
        <v>50721.89075897693</v>
      </c>
    </row>
    <row r="111" spans="2:5">
      <c r="B111" s="20">
        <v>46126</v>
      </c>
      <c r="C111" s="7">
        <f>Open_positions!G25</f>
        <v>87068.75</v>
      </c>
      <c r="D111" s="7" t="str">
        <f t="shared" si="1"/>
        <v>sell</v>
      </c>
      <c r="E111" s="7">
        <f>C111/(1+$J$4)^((B111-$B$9)/365)</f>
        <v>23616.785345408363</v>
      </c>
    </row>
    <row r="112" spans="2:5">
      <c r="B112" s="20">
        <v>46126</v>
      </c>
      <c r="C112" s="7">
        <f>Open_positions!G26</f>
        <v>259341.8</v>
      </c>
      <c r="D112" s="7" t="str">
        <f t="shared" si="1"/>
        <v>sell</v>
      </c>
      <c r="E112" s="7">
        <f>C112/(1+$J$4)^((B112-$B$9)/365)</f>
        <v>70344.637102195979</v>
      </c>
    </row>
    <row r="113" spans="2:5">
      <c r="B113" s="20">
        <v>46126</v>
      </c>
      <c r="C113" s="7">
        <f>Open_positions!G27</f>
        <v>62895.7</v>
      </c>
      <c r="D113" s="7" t="str">
        <f t="shared" si="1"/>
        <v>sell</v>
      </c>
      <c r="E113" s="7">
        <f>C113/(1+$J$4)^((B113-$B$9)/365)</f>
        <v>17060.015746742669</v>
      </c>
    </row>
    <row r="114" spans="2:5">
      <c r="B114" s="20">
        <v>46126</v>
      </c>
      <c r="C114" s="7">
        <f>Open_positions!G28</f>
        <v>91178.2</v>
      </c>
      <c r="D114" s="7" t="str">
        <f t="shared" si="1"/>
        <v>sell</v>
      </c>
      <c r="E114" s="7">
        <f>C114/(1+$J$4)^((B114-$B$9)/365)</f>
        <v>24731.444721334723</v>
      </c>
    </row>
    <row r="115" spans="2:5">
      <c r="B115" s="20">
        <v>46126</v>
      </c>
      <c r="C115" s="7">
        <f>Open_positions!G29</f>
        <v>82287.400000000009</v>
      </c>
      <c r="D115" s="7" t="str">
        <f t="shared" si="1"/>
        <v>sell</v>
      </c>
      <c r="E115" s="7">
        <f>C115/(1+$J$4)^((B115-$B$9)/365)</f>
        <v>22319.877825646472</v>
      </c>
    </row>
    <row r="116" spans="2:5">
      <c r="B116" s="20">
        <v>46126</v>
      </c>
      <c r="C116" s="7">
        <f>Open_positions!G30</f>
        <v>282200.8</v>
      </c>
      <c r="D116" s="7" t="str">
        <f t="shared" si="1"/>
        <v>sell</v>
      </c>
      <c r="E116" s="7">
        <f>C116/(1+$J$4)^((B116-$B$9)/365)</f>
        <v>76544.979891206836</v>
      </c>
    </row>
    <row r="117" spans="2:5">
      <c r="B117" s="20">
        <v>46126</v>
      </c>
      <c r="C117" s="7">
        <f>Open_positions!G31</f>
        <v>192621.75</v>
      </c>
      <c r="D117" s="7" t="str">
        <f t="shared" si="1"/>
        <v>sell</v>
      </c>
      <c r="E117" s="7">
        <f>C117/(1+$J$4)^((B117-$B$9)/365)</f>
        <v>52247.293347003528</v>
      </c>
    </row>
    <row r="118" spans="2:5">
      <c r="B118" s="20">
        <v>46126</v>
      </c>
      <c r="C118" s="7">
        <f>Open_positions!G32</f>
        <v>56102.400000000001</v>
      </c>
      <c r="D118" s="7" t="str">
        <f t="shared" si="1"/>
        <v>sell</v>
      </c>
      <c r="E118" s="7">
        <f>C118/(1+$J$4)^((B118-$B$9)/365)</f>
        <v>15217.380956568666</v>
      </c>
    </row>
    <row r="119" spans="2:5">
      <c r="B119" s="20">
        <v>46126</v>
      </c>
      <c r="C119" s="7">
        <f>Open_positions!G33</f>
        <v>372840</v>
      </c>
      <c r="D119" s="7" t="str">
        <f t="shared" si="1"/>
        <v>sell</v>
      </c>
      <c r="E119" s="7">
        <f>C119/(1+$J$4)^((B119-$B$9)/365)</f>
        <v>101130.22465789452</v>
      </c>
    </row>
    <row r="120" spans="2:5">
      <c r="B120" s="20">
        <v>46126</v>
      </c>
      <c r="C120" s="7">
        <f>Open_positions!G34</f>
        <v>2549.75</v>
      </c>
      <c r="D120" s="7" t="str">
        <f t="shared" si="1"/>
        <v>sell</v>
      </c>
      <c r="E120" s="7">
        <f>C120/(1+$J$4)^((B120-$B$9)/365)</f>
        <v>691.60173350892217</v>
      </c>
    </row>
    <row r="121" spans="2:5">
      <c r="B121" s="20">
        <v>46126</v>
      </c>
      <c r="C121" s="7">
        <f>Open_positions!G35</f>
        <v>56984</v>
      </c>
      <c r="D121" s="7" t="str">
        <f t="shared" si="1"/>
        <v>sell</v>
      </c>
      <c r="E121" s="7">
        <f>C121/(1+$J$4)^((B121-$B$9)/365)</f>
        <v>15456.508748807697</v>
      </c>
    </row>
    <row r="122" spans="2:5">
      <c r="B122" s="20">
        <v>46126</v>
      </c>
      <c r="C122" s="7">
        <f>Open_positions!G36</f>
        <v>205089.5</v>
      </c>
      <c r="D122" s="7" t="str">
        <f t="shared" si="1"/>
        <v>sell</v>
      </c>
      <c r="E122" s="7">
        <f>C122/(1+$J$4)^((B122-$B$9)/365)</f>
        <v>55629.082743201529</v>
      </c>
    </row>
    <row r="123" spans="2:5">
      <c r="B123" s="20">
        <v>46126</v>
      </c>
      <c r="C123" s="7">
        <f>Open_positions!G37</f>
        <v>484505.7</v>
      </c>
      <c r="D123" s="7" t="str">
        <f t="shared" si="1"/>
        <v>sell</v>
      </c>
      <c r="E123" s="7">
        <f>C123/(1+$J$4)^((B123-$B$9)/365)</f>
        <v>131418.75949208895</v>
      </c>
    </row>
    <row r="124" spans="2:5">
      <c r="B124" s="20">
        <v>46126</v>
      </c>
      <c r="C124" s="7">
        <f>Open_positions!G38</f>
        <v>67635.600000000006</v>
      </c>
      <c r="D124" s="7" t="str">
        <f t="shared" si="1"/>
        <v>sell</v>
      </c>
      <c r="E124" s="7">
        <f>C124/(1+$J$4)^((B124-$B$9)/365)</f>
        <v>18345.68024587354</v>
      </c>
    </row>
    <row r="125" spans="2:5">
      <c r="B125" s="20">
        <v>46126</v>
      </c>
      <c r="C125" s="7">
        <f>Open_positions!G39</f>
        <v>373680</v>
      </c>
      <c r="D125" s="7" t="str">
        <f t="shared" si="1"/>
        <v>sell</v>
      </c>
      <c r="E125" s="7">
        <f>C125/(1+$J$4)^((B125-$B$9)/365)</f>
        <v>101358.06874305876</v>
      </c>
    </row>
    <row r="126" spans="2:5">
      <c r="B126" s="20">
        <v>46126</v>
      </c>
      <c r="C126" s="7">
        <f>Open_positions!G40</f>
        <v>11060.800000000001</v>
      </c>
      <c r="D126" s="7" t="str">
        <f t="shared" si="1"/>
        <v>sell</v>
      </c>
      <c r="E126" s="7">
        <f>C126/(1+$J$4)^((B126-$B$9)/365)</f>
        <v>3000.1641156958476</v>
      </c>
    </row>
    <row r="127" spans="2:5">
      <c r="B127" s="20">
        <v>46126</v>
      </c>
      <c r="C127" s="7">
        <f>Open_positions!G41</f>
        <v>117906.25</v>
      </c>
      <c r="D127" s="7" t="str">
        <f t="shared" si="1"/>
        <v>sell</v>
      </c>
      <c r="E127" s="7">
        <f>C127/(1+$J$4)^((B127-$B$9)/365)</f>
        <v>31981.240079041614</v>
      </c>
    </row>
    <row r="128" spans="2:5">
      <c r="B128" s="20">
        <v>46126</v>
      </c>
      <c r="C128" s="7">
        <f>Open_positions!G42</f>
        <v>1220998.9000000001</v>
      </c>
      <c r="D128" s="7" t="str">
        <f t="shared" si="1"/>
        <v>sell</v>
      </c>
      <c r="E128" s="7">
        <f>C128/(1+$J$4)^((B128-$B$9)/365)</f>
        <v>331187.35399646522</v>
      </c>
    </row>
    <row r="129" spans="2:5">
      <c r="B129" s="20">
        <v>46126</v>
      </c>
      <c r="C129" s="7">
        <f>Open_positions!G43</f>
        <v>187171.99999999997</v>
      </c>
      <c r="D129" s="7" t="str">
        <f t="shared" si="1"/>
        <v>sell</v>
      </c>
      <c r="E129" s="7">
        <f>C129/(1+$J$4)^((B129-$B$9)/365)</f>
        <v>50769.087033760945</v>
      </c>
    </row>
    <row r="130" spans="2:5">
      <c r="B130" s="20">
        <v>46126</v>
      </c>
      <c r="C130" s="7">
        <f>Open_positions!G44</f>
        <v>364755.6</v>
      </c>
      <c r="D130" s="7" t="str">
        <f t="shared" si="1"/>
        <v>sell</v>
      </c>
      <c r="E130" s="7">
        <f>C130/(1+$J$4)^((B130-$B$9)/365)</f>
        <v>98937.388083963917</v>
      </c>
    </row>
    <row r="131" spans="2:5">
      <c r="B131" s="20">
        <v>46126</v>
      </c>
      <c r="C131" s="7">
        <f>Open_positions!G45</f>
        <v>26848.75</v>
      </c>
      <c r="D131" s="7" t="str">
        <f t="shared" si="1"/>
        <v>sell</v>
      </c>
      <c r="E131" s="7">
        <f>C131/(1+$J$4)^((B131-$B$9)/365)</f>
        <v>7282.5343828013238</v>
      </c>
    </row>
    <row r="132" spans="2:5">
      <c r="B132" s="20">
        <v>46126</v>
      </c>
      <c r="C132" s="7">
        <f>Open_positions!G46</f>
        <v>177490.5</v>
      </c>
      <c r="D132" s="7" t="str">
        <f t="shared" si="1"/>
        <v>sell</v>
      </c>
      <c r="E132" s="7">
        <f>C132/(1+$J$4)^((B132-$B$9)/365)</f>
        <v>48143.048330763944</v>
      </c>
    </row>
    <row r="133" spans="2:5">
      <c r="B133" s="20">
        <v>46126</v>
      </c>
      <c r="C133" s="7">
        <f>Open_positions!G47</f>
        <v>184423</v>
      </c>
      <c r="D133" s="7" t="str">
        <f t="shared" si="1"/>
        <v>sell</v>
      </c>
      <c r="E133" s="7">
        <f>C133/(1+$J$4)^((B133-$B$9)/365)</f>
        <v>50023.44014076516</v>
      </c>
    </row>
    <row r="134" spans="2:5">
      <c r="B134" s="20">
        <v>46126</v>
      </c>
      <c r="C134" s="7">
        <f>Open_positions!G48</f>
        <v>81014.5</v>
      </c>
      <c r="D134" s="7" t="str">
        <f t="shared" si="1"/>
        <v>sell</v>
      </c>
      <c r="E134" s="7">
        <f>C134/(1+$J$4)^((B134-$B$9)/365)</f>
        <v>21974.612663735104</v>
      </c>
    </row>
    <row r="135" spans="2:5">
      <c r="B135" s="20">
        <v>46126</v>
      </c>
      <c r="C135" s="7">
        <f>Open_positions!G49</f>
        <v>298920</v>
      </c>
      <c r="D135" s="7" t="str">
        <f t="shared" si="1"/>
        <v>sell</v>
      </c>
      <c r="E135" s="7">
        <f>C135/(1+$J$4)^((B135-$B$9)/365)</f>
        <v>81079.945163442302</v>
      </c>
    </row>
    <row r="136" spans="2:5">
      <c r="B136" s="20">
        <v>46126</v>
      </c>
      <c r="C136" s="7">
        <f>Open_positions!G50</f>
        <v>108300</v>
      </c>
      <c r="D136" s="7" t="str">
        <f t="shared" si="1"/>
        <v>sell</v>
      </c>
      <c r="E136" s="7">
        <f>C136/(1+$J$4)^((B136-$B$9)/365)</f>
        <v>29375.6124086739</v>
      </c>
    </row>
    <row r="137" spans="2:5">
      <c r="B137" s="20">
        <v>46126</v>
      </c>
      <c r="C137" s="7">
        <f>Open_positions!G51</f>
        <v>549355.20000000007</v>
      </c>
      <c r="D137" s="7" t="str">
        <f t="shared" si="1"/>
        <v>sell</v>
      </c>
      <c r="E137" s="7">
        <f>C137/(1+$J$4)^((B137-$B$9)/365)</f>
        <v>149008.7297312053</v>
      </c>
    </row>
    <row r="138" spans="2:5">
      <c r="B138" s="20">
        <v>46126</v>
      </c>
      <c r="C138" s="7">
        <f>Open_positions!G52</f>
        <v>98496</v>
      </c>
      <c r="D138" s="7" t="str">
        <f t="shared" ref="D138:D156" si="2">IF(C138&gt;0,"sell","buy")</f>
        <v>sell</v>
      </c>
      <c r="E138" s="7">
        <f>C138/(1+$J$4)^((B138-$B$9)/365)</f>
        <v>26716.346443257105</v>
      </c>
    </row>
    <row r="139" spans="2:5">
      <c r="B139" s="20">
        <v>46126</v>
      </c>
      <c r="C139" s="7">
        <f>Open_positions!G53</f>
        <v>123830</v>
      </c>
      <c r="D139" s="7" t="str">
        <f t="shared" si="2"/>
        <v>sell</v>
      </c>
      <c r="E139" s="7">
        <f>C139/(1+$J$4)^((B139-$B$9)/365)</f>
        <v>33588.015554626858</v>
      </c>
    </row>
    <row r="140" spans="2:5">
      <c r="B140" s="20">
        <v>46126</v>
      </c>
      <c r="C140" s="7">
        <f>Open_positions!G54</f>
        <v>574351.20000000007</v>
      </c>
      <c r="D140" s="7" t="str">
        <f t="shared" si="2"/>
        <v>sell</v>
      </c>
      <c r="E140" s="7">
        <f>C140/(1+$J$4)^((B140-$B$9)/365)</f>
        <v>155788.71872259231</v>
      </c>
    </row>
    <row r="141" spans="2:5">
      <c r="B141" s="20">
        <v>46126</v>
      </c>
      <c r="C141" s="7">
        <f>Open_positions!G55</f>
        <v>314760</v>
      </c>
      <c r="D141" s="7" t="str">
        <f t="shared" si="2"/>
        <v>sell</v>
      </c>
      <c r="E141" s="7">
        <f>C141/(1+$J$4)^((B141-$B$9)/365)</f>
        <v>85376.433626539205</v>
      </c>
    </row>
    <row r="142" spans="2:5">
      <c r="B142" s="20">
        <v>46126</v>
      </c>
      <c r="C142" s="7">
        <f>Open_positions!G56</f>
        <v>114375</v>
      </c>
      <c r="D142" s="7" t="str">
        <f t="shared" si="2"/>
        <v>sell</v>
      </c>
      <c r="E142" s="7">
        <f>C142/(1+$J$4)^((B142-$B$9)/365)</f>
        <v>31023.413381736631</v>
      </c>
    </row>
    <row r="143" spans="2:5">
      <c r="B143" s="20">
        <v>46126</v>
      </c>
      <c r="C143" s="7">
        <f>Open_positions!G57</f>
        <v>84471.2</v>
      </c>
      <c r="D143" s="7" t="str">
        <f t="shared" si="2"/>
        <v>sell</v>
      </c>
      <c r="E143" s="7">
        <f>C143/(1+$J$4)^((B143-$B$9)/365)</f>
        <v>22912.218198481762</v>
      </c>
    </row>
    <row r="144" spans="2:5">
      <c r="B144" s="20">
        <v>46126</v>
      </c>
      <c r="C144" s="7">
        <f>Open_positions!G58</f>
        <v>95394.75</v>
      </c>
      <c r="D144" s="7" t="str">
        <f t="shared" si="2"/>
        <v>sell</v>
      </c>
      <c r="E144" s="7">
        <f>C144/(1+$J$4)^((B144-$B$9)/365)</f>
        <v>25875.154218119525</v>
      </c>
    </row>
    <row r="145" spans="2:5">
      <c r="B145" s="20">
        <v>46126</v>
      </c>
      <c r="C145" s="7">
        <f>Open_positions!G59</f>
        <v>488678.39999999997</v>
      </c>
      <c r="D145" s="7" t="str">
        <f t="shared" si="2"/>
        <v>sell</v>
      </c>
      <c r="E145" s="7">
        <f>C145/(1+$J$4)^((B145-$B$9)/365)</f>
        <v>132550.57498514224</v>
      </c>
    </row>
    <row r="146" spans="2:5">
      <c r="B146" s="20">
        <v>46126</v>
      </c>
      <c r="C146" s="7">
        <f>Open_positions!G60</f>
        <v>69932.800000000003</v>
      </c>
      <c r="D146" s="7" t="str">
        <f t="shared" si="2"/>
        <v>sell</v>
      </c>
      <c r="E146" s="7">
        <f>C146/(1+$J$4)^((B146-$B$9)/365)</f>
        <v>18968.779570206003</v>
      </c>
    </row>
    <row r="147" spans="2:5">
      <c r="B147" s="20">
        <v>46126</v>
      </c>
      <c r="C147" s="7">
        <f>Open_positions!G61</f>
        <v>54615</v>
      </c>
      <c r="D147" s="7" t="str">
        <f t="shared" si="2"/>
        <v>sell</v>
      </c>
      <c r="E147" s="7">
        <f>C147/(1+$J$4)^((B147-$B$9)/365)</f>
        <v>14813.934180052862</v>
      </c>
    </row>
    <row r="148" spans="2:5">
      <c r="B148" s="20">
        <v>46126</v>
      </c>
      <c r="C148" s="7">
        <f>Open_positions!G62</f>
        <v>703625</v>
      </c>
      <c r="D148" s="7" t="str">
        <f t="shared" si="2"/>
        <v>sell</v>
      </c>
      <c r="E148" s="7">
        <f>C148/(1+$J$4)^((B148-$B$9)/365)</f>
        <v>190853.32669485846</v>
      </c>
    </row>
    <row r="149" spans="2:5">
      <c r="B149" s="20">
        <v>46126</v>
      </c>
      <c r="C149" s="7">
        <f>Open_positions!G63</f>
        <v>86250</v>
      </c>
      <c r="D149" s="7" t="str">
        <f t="shared" si="2"/>
        <v>sell</v>
      </c>
      <c r="E149" s="7">
        <f>C149/(1+$J$4)^((B149-$B$9)/365)</f>
        <v>23394.70517311287</v>
      </c>
    </row>
    <row r="150" spans="2:5">
      <c r="B150" s="20">
        <v>46126</v>
      </c>
      <c r="C150" s="7">
        <f>Open_positions!G64</f>
        <v>279223</v>
      </c>
      <c r="D150" s="7" t="str">
        <f t="shared" si="2"/>
        <v>sell</v>
      </c>
      <c r="E150" s="7">
        <f>C150/(1+$J$4)^((B150-$B$9)/365)</f>
        <v>75737.272609299645</v>
      </c>
    </row>
    <row r="151" spans="2:5">
      <c r="B151" s="20">
        <v>46126</v>
      </c>
      <c r="C151" s="7">
        <f>Open_positions!G65</f>
        <v>716879.8</v>
      </c>
      <c r="D151" s="7" t="str">
        <f t="shared" si="2"/>
        <v>sell</v>
      </c>
      <c r="E151" s="7">
        <f>C151/(1+$J$4)^((B151-$B$9)/365)</f>
        <v>194448.59786156661</v>
      </c>
    </row>
    <row r="152" spans="2:5">
      <c r="B152" s="20">
        <v>46126</v>
      </c>
      <c r="C152" s="7">
        <f>Open_positions!G66</f>
        <v>34080</v>
      </c>
      <c r="D152" s="7" t="str">
        <f t="shared" si="2"/>
        <v>sell</v>
      </c>
      <c r="E152" s="7">
        <f>C152/(1+$J$4)^((B152-$B$9)/365)</f>
        <v>9243.9600266630332</v>
      </c>
    </row>
    <row r="153" spans="2:5">
      <c r="B153" s="20">
        <v>46126</v>
      </c>
      <c r="C153" s="7">
        <f>Open_positions!G67</f>
        <v>147250</v>
      </c>
      <c r="D153" s="7" t="str">
        <f t="shared" si="2"/>
        <v>sell</v>
      </c>
      <c r="E153" s="7">
        <f>C153/(1+$J$4)^((B153-$B$9)/365)</f>
        <v>39940.525643372406</v>
      </c>
    </row>
    <row r="154" spans="2:5">
      <c r="B154" s="20">
        <v>46126</v>
      </c>
      <c r="C154" s="7">
        <f>Open_positions!G68</f>
        <v>993000</v>
      </c>
      <c r="D154" s="7" t="str">
        <f t="shared" si="2"/>
        <v>sell</v>
      </c>
      <c r="E154" s="7">
        <f>C154/(1+$J$4)^((B154-$B$9)/365)</f>
        <v>269344.25781914295</v>
      </c>
    </row>
    <row r="155" spans="2:5">
      <c r="B155" s="20">
        <v>46126</v>
      </c>
      <c r="C155" s="7">
        <f>Open_positions!G69</f>
        <v>254911.5</v>
      </c>
      <c r="D155" s="7" t="str">
        <f t="shared" si="2"/>
        <v>sell</v>
      </c>
      <c r="E155" s="7">
        <f>C155/(1+$J$4)^((B155-$B$9)/365)</f>
        <v>69142.949423025639</v>
      </c>
    </row>
    <row r="156" spans="2:5">
      <c r="B156" s="20">
        <v>46126</v>
      </c>
      <c r="C156" s="7">
        <f>Open_positions!G70</f>
        <v>695960</v>
      </c>
      <c r="D156" s="7" t="str">
        <f t="shared" si="2"/>
        <v>sell</v>
      </c>
      <c r="E156" s="7">
        <f>C156/(1+$J$4)^((B156-$B$9)/365)</f>
        <v>188774.24941773489</v>
      </c>
    </row>
    <row r="157" spans="2:5">
      <c r="B157" s="21" t="s">
        <v>137</v>
      </c>
      <c r="C157" s="18">
        <f>SUM(C9:C156)</f>
        <v>8357822.2285999963</v>
      </c>
      <c r="D157" s="18"/>
      <c r="E157" s="6">
        <f>SUM(E9:E156)</f>
        <v>4.6369095798581839E-6</v>
      </c>
    </row>
  </sheetData>
  <conditionalFormatting sqref="B9:E88">
    <cfRule type="cellIs" priority="1" operator="equal">
      <formula>"""buy"""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CA79-E48A-466D-86F2-3B36AE8511CE}">
  <sheetPr>
    <tabColor theme="4" tint="0.59999389629810485"/>
  </sheetPr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CA56-8E0A-464F-932F-DBA01567CD06}">
  <dimension ref="A2:B25"/>
  <sheetViews>
    <sheetView showGridLines="0" workbookViewId="0">
      <selection activeCell="D15" sqref="D15"/>
    </sheetView>
  </sheetViews>
  <sheetFormatPr defaultRowHeight="14.25"/>
  <cols>
    <col min="1" max="1" width="1.73046875" customWidth="1"/>
    <col min="2" max="2" width="79.73046875" bestFit="1" customWidth="1"/>
  </cols>
  <sheetData>
    <row r="2" spans="1:2" ht="29.65">
      <c r="B2" s="9" t="s">
        <v>139</v>
      </c>
    </row>
    <row r="4" spans="1:2" ht="22.15">
      <c r="B4" s="10" t="s">
        <v>140</v>
      </c>
    </row>
    <row r="9" spans="1:2" ht="22.15">
      <c r="B9" s="10" t="s">
        <v>145</v>
      </c>
    </row>
    <row r="10" spans="1:2">
      <c r="B10" s="11"/>
    </row>
    <row r="11" spans="1:2" ht="75.75">
      <c r="A11" t="s">
        <v>146</v>
      </c>
      <c r="B11" s="12" t="s">
        <v>147</v>
      </c>
    </row>
    <row r="12" spans="1:2" ht="15.75">
      <c r="B12" s="13"/>
    </row>
    <row r="13" spans="1:2" ht="76.5">
      <c r="A13" t="s">
        <v>146</v>
      </c>
      <c r="B13" s="12" t="s">
        <v>148</v>
      </c>
    </row>
    <row r="14" spans="1:2" ht="15.75">
      <c r="B14" s="13"/>
    </row>
    <row r="15" spans="1:2" ht="105">
      <c r="A15" t="s">
        <v>146</v>
      </c>
      <c r="B15" s="12" t="s">
        <v>149</v>
      </c>
    </row>
    <row r="16" spans="1:2" ht="15.75">
      <c r="B16" s="13"/>
    </row>
    <row r="17" spans="1:2" ht="90.75">
      <c r="A17" t="s">
        <v>146</v>
      </c>
      <c r="B17" s="12" t="s">
        <v>150</v>
      </c>
    </row>
    <row r="18" spans="1:2" ht="15.75">
      <c r="B18" s="13"/>
    </row>
    <row r="19" spans="1:2" ht="76.5">
      <c r="A19" t="s">
        <v>146</v>
      </c>
      <c r="B19" s="12" t="s">
        <v>141</v>
      </c>
    </row>
    <row r="20" spans="1:2" ht="15.75">
      <c r="B20" s="13"/>
    </row>
    <row r="21" spans="1:2" ht="60.75">
      <c r="A21" t="s">
        <v>146</v>
      </c>
      <c r="B21" s="12" t="s">
        <v>142</v>
      </c>
    </row>
    <row r="22" spans="1:2" ht="15.75">
      <c r="B22" s="13"/>
    </row>
    <row r="23" spans="1:2" ht="62.25">
      <c r="A23" t="s">
        <v>146</v>
      </c>
      <c r="B23" s="12" t="s">
        <v>143</v>
      </c>
    </row>
    <row r="24" spans="1:2" ht="15.75">
      <c r="B24" s="13"/>
    </row>
    <row r="25" spans="1:2" ht="107.25">
      <c r="A25" t="s">
        <v>146</v>
      </c>
      <c r="B25" s="12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584A-8949-47D7-A16F-73E4F9399DC7}">
  <sheetPr>
    <tabColor theme="4" tint="0.59999389629810485"/>
  </sheetPr>
  <dimension ref="A1"/>
  <sheetViews>
    <sheetView workbookViewId="0"/>
  </sheetViews>
  <sheetFormatPr defaultRowHeight="14.25"/>
  <sheetData>
    <row r="1" spans="1:1">
      <c r="A1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2C7A-C7D6-42BA-B51D-D0895A5250BE}">
  <dimension ref="A1:F832"/>
  <sheetViews>
    <sheetView workbookViewId="0">
      <selection activeCell="H13" sqref="H13"/>
    </sheetView>
  </sheetViews>
  <sheetFormatPr defaultRowHeight="14.25"/>
  <cols>
    <col min="1" max="1" width="11.9296875" bestFit="1" customWidth="1"/>
    <col min="2" max="2" width="11.796875" bestFit="1" customWidth="1"/>
    <col min="3" max="3" width="11.9296875" bestFit="1" customWidth="1"/>
    <col min="4" max="4" width="10.06640625" bestFit="1" customWidth="1"/>
    <col min="5" max="5" width="9.73046875" bestFit="1" customWidth="1"/>
    <col min="6" max="6" width="12.3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126</v>
      </c>
    </row>
    <row r="2" spans="1:6">
      <c r="A2" t="s">
        <v>5</v>
      </c>
      <c r="B2" s="1">
        <v>46054</v>
      </c>
      <c r="C2" t="s">
        <v>6</v>
      </c>
      <c r="D2">
        <v>1000</v>
      </c>
      <c r="E2">
        <v>19</v>
      </c>
      <c r="F2">
        <f>IF(Tradebook_2023_2026[[#This Row],[Trade Type]]="buy",-(Tradebook_2023_2026[[#This Row],[Quantity]]*Tradebook_2023_2026[[#This Row],[Price]]),(Tradebook_2023_2026[[#This Row],[Quantity]]*Tradebook_2023_2026[[#This Row],[Price]]))</f>
        <v>19000</v>
      </c>
    </row>
    <row r="3" spans="1:6">
      <c r="A3" t="s">
        <v>5</v>
      </c>
      <c r="B3" s="1">
        <v>46054</v>
      </c>
      <c r="C3" t="s">
        <v>6</v>
      </c>
      <c r="D3">
        <v>1</v>
      </c>
      <c r="E3">
        <v>18.5</v>
      </c>
      <c r="F3">
        <f>IF(Tradebook_2023_2026[[#This Row],[Trade Type]]="buy",-(Tradebook_2023_2026[[#This Row],[Quantity]]*Tradebook_2023_2026[[#This Row],[Price]]),(Tradebook_2023_2026[[#This Row],[Quantity]]*Tradebook_2023_2026[[#This Row],[Price]]))</f>
        <v>18.5</v>
      </c>
    </row>
    <row r="4" spans="1:6">
      <c r="A4" t="s">
        <v>5</v>
      </c>
      <c r="B4" s="1">
        <v>46054</v>
      </c>
      <c r="C4" t="s">
        <v>6</v>
      </c>
      <c r="D4">
        <v>55</v>
      </c>
      <c r="E4">
        <v>18.5</v>
      </c>
      <c r="F4">
        <f>IF(Tradebook_2023_2026[[#This Row],[Trade Type]]="buy",-(Tradebook_2023_2026[[#This Row],[Quantity]]*Tradebook_2023_2026[[#This Row],[Price]]),(Tradebook_2023_2026[[#This Row],[Quantity]]*Tradebook_2023_2026[[#This Row],[Price]]))</f>
        <v>1017.5</v>
      </c>
    </row>
    <row r="5" spans="1:6">
      <c r="A5" t="s">
        <v>5</v>
      </c>
      <c r="B5" s="1">
        <v>46054</v>
      </c>
      <c r="C5" t="s">
        <v>6</v>
      </c>
      <c r="D5">
        <v>944</v>
      </c>
      <c r="E5">
        <v>18.5</v>
      </c>
      <c r="F5">
        <f>IF(Tradebook_2023_2026[[#This Row],[Trade Type]]="buy",-(Tradebook_2023_2026[[#This Row],[Quantity]]*Tradebook_2023_2026[[#This Row],[Price]]),(Tradebook_2023_2026[[#This Row],[Quantity]]*Tradebook_2023_2026[[#This Row],[Price]]))</f>
        <v>17464</v>
      </c>
    </row>
    <row r="6" spans="1:6">
      <c r="A6" t="s">
        <v>7</v>
      </c>
      <c r="B6" s="1">
        <v>46054</v>
      </c>
      <c r="C6" t="s">
        <v>8</v>
      </c>
      <c r="D6">
        <v>21</v>
      </c>
      <c r="E6">
        <v>1064.7</v>
      </c>
      <c r="F6">
        <f>IF(Tradebook_2023_2026[[#This Row],[Trade Type]]="buy",-(Tradebook_2023_2026[[#This Row],[Quantity]]*Tradebook_2023_2026[[#This Row],[Price]]),(Tradebook_2023_2026[[#This Row],[Quantity]]*Tradebook_2023_2026[[#This Row],[Price]]))</f>
        <v>-22358.7</v>
      </c>
    </row>
    <row r="7" spans="1:6">
      <c r="A7" t="s">
        <v>7</v>
      </c>
      <c r="B7" s="1">
        <v>46054</v>
      </c>
      <c r="C7" t="s">
        <v>8</v>
      </c>
      <c r="D7">
        <v>4</v>
      </c>
      <c r="E7">
        <v>1064.6500000000001</v>
      </c>
      <c r="F7">
        <f>IF(Tradebook_2023_2026[[#This Row],[Trade Type]]="buy",-(Tradebook_2023_2026[[#This Row],[Quantity]]*Tradebook_2023_2026[[#This Row],[Price]]),(Tradebook_2023_2026[[#This Row],[Quantity]]*Tradebook_2023_2026[[#This Row],[Price]]))</f>
        <v>-4258.6000000000004</v>
      </c>
    </row>
    <row r="8" spans="1:6">
      <c r="A8" t="s">
        <v>9</v>
      </c>
      <c r="B8" s="1">
        <v>46055</v>
      </c>
      <c r="C8" t="s">
        <v>8</v>
      </c>
      <c r="D8">
        <v>1000</v>
      </c>
      <c r="E8">
        <v>609.25</v>
      </c>
      <c r="F8">
        <f>IF(Tradebook_2023_2026[[#This Row],[Trade Type]]="buy",-(Tradebook_2023_2026[[#This Row],[Quantity]]*Tradebook_2023_2026[[#This Row],[Price]]),(Tradebook_2023_2026[[#This Row],[Quantity]]*Tradebook_2023_2026[[#This Row],[Price]]))</f>
        <v>-609250</v>
      </c>
    </row>
    <row r="9" spans="1:6">
      <c r="A9" t="s">
        <v>9</v>
      </c>
      <c r="B9" s="1">
        <v>46055</v>
      </c>
      <c r="C9" t="s">
        <v>8</v>
      </c>
      <c r="D9">
        <v>10</v>
      </c>
      <c r="E9">
        <v>609.25</v>
      </c>
      <c r="F9">
        <f>IF(Tradebook_2023_2026[[#This Row],[Trade Type]]="buy",-(Tradebook_2023_2026[[#This Row],[Quantity]]*Tradebook_2023_2026[[#This Row],[Price]]),(Tradebook_2023_2026[[#This Row],[Quantity]]*Tradebook_2023_2026[[#This Row],[Price]]))</f>
        <v>-6092.5</v>
      </c>
    </row>
    <row r="10" spans="1:6">
      <c r="A10" t="s">
        <v>9</v>
      </c>
      <c r="B10" s="1">
        <v>46055</v>
      </c>
      <c r="C10" t="s">
        <v>8</v>
      </c>
      <c r="D10">
        <v>203</v>
      </c>
      <c r="E10">
        <v>609.25</v>
      </c>
      <c r="F10">
        <f>IF(Tradebook_2023_2026[[#This Row],[Trade Type]]="buy",-(Tradebook_2023_2026[[#This Row],[Quantity]]*Tradebook_2023_2026[[#This Row],[Price]]),(Tradebook_2023_2026[[#This Row],[Quantity]]*Tradebook_2023_2026[[#This Row],[Price]]))</f>
        <v>-123677.75</v>
      </c>
    </row>
    <row r="11" spans="1:6">
      <c r="A11" t="s">
        <v>9</v>
      </c>
      <c r="B11" s="1">
        <v>46055</v>
      </c>
      <c r="C11" t="s">
        <v>8</v>
      </c>
      <c r="D11">
        <v>2</v>
      </c>
      <c r="E11">
        <v>609.25</v>
      </c>
      <c r="F11">
        <f>IF(Tradebook_2023_2026[[#This Row],[Trade Type]]="buy",-(Tradebook_2023_2026[[#This Row],[Quantity]]*Tradebook_2023_2026[[#This Row],[Price]]),(Tradebook_2023_2026[[#This Row],[Quantity]]*Tradebook_2023_2026[[#This Row],[Price]]))</f>
        <v>-1218.5</v>
      </c>
    </row>
    <row r="12" spans="1:6">
      <c r="A12" t="s">
        <v>9</v>
      </c>
      <c r="B12" s="1">
        <v>46055</v>
      </c>
      <c r="C12" t="s">
        <v>8</v>
      </c>
      <c r="D12">
        <v>276</v>
      </c>
      <c r="E12">
        <v>609.25</v>
      </c>
      <c r="F12">
        <f>IF(Tradebook_2023_2026[[#This Row],[Trade Type]]="buy",-(Tradebook_2023_2026[[#This Row],[Quantity]]*Tradebook_2023_2026[[#This Row],[Price]]),(Tradebook_2023_2026[[#This Row],[Quantity]]*Tradebook_2023_2026[[#This Row],[Price]]))</f>
        <v>-168153</v>
      </c>
    </row>
    <row r="13" spans="1:6">
      <c r="A13" t="s">
        <v>9</v>
      </c>
      <c r="B13" s="1">
        <v>46055</v>
      </c>
      <c r="C13" t="s">
        <v>8</v>
      </c>
      <c r="D13">
        <v>4</v>
      </c>
      <c r="E13">
        <v>609.25</v>
      </c>
      <c r="F13">
        <f>IF(Tradebook_2023_2026[[#This Row],[Trade Type]]="buy",-(Tradebook_2023_2026[[#This Row],[Quantity]]*Tradebook_2023_2026[[#This Row],[Price]]),(Tradebook_2023_2026[[#This Row],[Quantity]]*Tradebook_2023_2026[[#This Row],[Price]]))</f>
        <v>-2437</v>
      </c>
    </row>
    <row r="14" spans="1:6">
      <c r="A14" t="s">
        <v>9</v>
      </c>
      <c r="B14" s="1">
        <v>46055</v>
      </c>
      <c r="C14" t="s">
        <v>8</v>
      </c>
      <c r="D14">
        <v>5</v>
      </c>
      <c r="E14">
        <v>609.25</v>
      </c>
      <c r="F14">
        <f>IF(Tradebook_2023_2026[[#This Row],[Trade Type]]="buy",-(Tradebook_2023_2026[[#This Row],[Quantity]]*Tradebook_2023_2026[[#This Row],[Price]]),(Tradebook_2023_2026[[#This Row],[Quantity]]*Tradebook_2023_2026[[#This Row],[Price]]))</f>
        <v>-3046.25</v>
      </c>
    </row>
    <row r="15" spans="1:6">
      <c r="A15" t="s">
        <v>5</v>
      </c>
      <c r="B15" s="1">
        <v>46055</v>
      </c>
      <c r="C15" t="s">
        <v>6</v>
      </c>
      <c r="D15">
        <v>1000</v>
      </c>
      <c r="E15">
        <v>20.05</v>
      </c>
      <c r="F15">
        <f>IF(Tradebook_2023_2026[[#This Row],[Trade Type]]="buy",-(Tradebook_2023_2026[[#This Row],[Quantity]]*Tradebook_2023_2026[[#This Row],[Price]]),(Tradebook_2023_2026[[#This Row],[Quantity]]*Tradebook_2023_2026[[#This Row],[Price]]))</f>
        <v>20050</v>
      </c>
    </row>
    <row r="16" spans="1:6">
      <c r="A16" t="s">
        <v>10</v>
      </c>
      <c r="B16" s="1">
        <v>46055</v>
      </c>
      <c r="C16" t="s">
        <v>8</v>
      </c>
      <c r="D16">
        <v>645</v>
      </c>
      <c r="E16">
        <v>346</v>
      </c>
      <c r="F16">
        <f>IF(Tradebook_2023_2026[[#This Row],[Trade Type]]="buy",-(Tradebook_2023_2026[[#This Row],[Quantity]]*Tradebook_2023_2026[[#This Row],[Price]]),(Tradebook_2023_2026[[#This Row],[Quantity]]*Tradebook_2023_2026[[#This Row],[Price]]))</f>
        <v>-223170</v>
      </c>
    </row>
    <row r="17" spans="1:6">
      <c r="A17" t="s">
        <v>11</v>
      </c>
      <c r="B17" s="1">
        <v>46055</v>
      </c>
      <c r="C17" t="s">
        <v>6</v>
      </c>
      <c r="D17">
        <v>9</v>
      </c>
      <c r="E17">
        <v>1075</v>
      </c>
      <c r="F17">
        <f>IF(Tradebook_2023_2026[[#This Row],[Trade Type]]="buy",-(Tradebook_2023_2026[[#This Row],[Quantity]]*Tradebook_2023_2026[[#This Row],[Price]]),(Tradebook_2023_2026[[#This Row],[Quantity]]*Tradebook_2023_2026[[#This Row],[Price]]))</f>
        <v>9675</v>
      </c>
    </row>
    <row r="18" spans="1:6">
      <c r="A18" t="s">
        <v>11</v>
      </c>
      <c r="B18" s="1">
        <v>46055</v>
      </c>
      <c r="C18" t="s">
        <v>6</v>
      </c>
      <c r="D18">
        <v>26</v>
      </c>
      <c r="E18">
        <v>1075</v>
      </c>
      <c r="F18">
        <f>IF(Tradebook_2023_2026[[#This Row],[Trade Type]]="buy",-(Tradebook_2023_2026[[#This Row],[Quantity]]*Tradebook_2023_2026[[#This Row],[Price]]),(Tradebook_2023_2026[[#This Row],[Quantity]]*Tradebook_2023_2026[[#This Row],[Price]]))</f>
        <v>27950</v>
      </c>
    </row>
    <row r="19" spans="1:6">
      <c r="A19" t="s">
        <v>11</v>
      </c>
      <c r="B19" s="1">
        <v>46055</v>
      </c>
      <c r="C19" t="s">
        <v>6</v>
      </c>
      <c r="D19">
        <v>71</v>
      </c>
      <c r="E19">
        <v>1075</v>
      </c>
      <c r="F19">
        <f>IF(Tradebook_2023_2026[[#This Row],[Trade Type]]="buy",-(Tradebook_2023_2026[[#This Row],[Quantity]]*Tradebook_2023_2026[[#This Row],[Price]]),(Tradebook_2023_2026[[#This Row],[Quantity]]*Tradebook_2023_2026[[#This Row],[Price]]))</f>
        <v>76325</v>
      </c>
    </row>
    <row r="20" spans="1:6">
      <c r="A20" t="s">
        <v>11</v>
      </c>
      <c r="B20" s="1">
        <v>46055</v>
      </c>
      <c r="C20" t="s">
        <v>6</v>
      </c>
      <c r="D20">
        <v>25</v>
      </c>
      <c r="E20">
        <v>1075</v>
      </c>
      <c r="F20">
        <f>IF(Tradebook_2023_2026[[#This Row],[Trade Type]]="buy",-(Tradebook_2023_2026[[#This Row],[Quantity]]*Tradebook_2023_2026[[#This Row],[Price]]),(Tradebook_2023_2026[[#This Row],[Quantity]]*Tradebook_2023_2026[[#This Row],[Price]]))</f>
        <v>26875</v>
      </c>
    </row>
    <row r="21" spans="1:6">
      <c r="A21" t="s">
        <v>11</v>
      </c>
      <c r="B21" s="1">
        <v>46055</v>
      </c>
      <c r="C21" t="s">
        <v>6</v>
      </c>
      <c r="D21">
        <v>913</v>
      </c>
      <c r="E21">
        <v>1075</v>
      </c>
      <c r="F21">
        <f>IF(Tradebook_2023_2026[[#This Row],[Trade Type]]="buy",-(Tradebook_2023_2026[[#This Row],[Quantity]]*Tradebook_2023_2026[[#This Row],[Price]]),(Tradebook_2023_2026[[#This Row],[Quantity]]*Tradebook_2023_2026[[#This Row],[Price]]))</f>
        <v>981475</v>
      </c>
    </row>
    <row r="22" spans="1:6">
      <c r="A22" t="s">
        <v>9</v>
      </c>
      <c r="B22" s="1">
        <v>46056</v>
      </c>
      <c r="C22" t="s">
        <v>6</v>
      </c>
      <c r="D22">
        <v>1436</v>
      </c>
      <c r="E22">
        <v>694.05</v>
      </c>
      <c r="F22">
        <f>IF(Tradebook_2023_2026[[#This Row],[Trade Type]]="buy",-(Tradebook_2023_2026[[#This Row],[Quantity]]*Tradebook_2023_2026[[#This Row],[Price]]),(Tradebook_2023_2026[[#This Row],[Quantity]]*Tradebook_2023_2026[[#This Row],[Price]]))</f>
        <v>996655.79999999993</v>
      </c>
    </row>
    <row r="23" spans="1:6">
      <c r="A23" t="s">
        <v>9</v>
      </c>
      <c r="B23" s="1">
        <v>46056</v>
      </c>
      <c r="C23" t="s">
        <v>6</v>
      </c>
      <c r="D23">
        <v>64</v>
      </c>
      <c r="E23">
        <v>694.05</v>
      </c>
      <c r="F23">
        <f>IF(Tradebook_2023_2026[[#This Row],[Trade Type]]="buy",-(Tradebook_2023_2026[[#This Row],[Quantity]]*Tradebook_2023_2026[[#This Row],[Price]]),(Tradebook_2023_2026[[#This Row],[Quantity]]*Tradebook_2023_2026[[#This Row],[Price]]))</f>
        <v>44419.199999999997</v>
      </c>
    </row>
    <row r="24" spans="1:6">
      <c r="A24" t="s">
        <v>12</v>
      </c>
      <c r="B24" s="1">
        <v>46056</v>
      </c>
      <c r="C24" t="s">
        <v>6</v>
      </c>
      <c r="D24">
        <v>10</v>
      </c>
      <c r="E24">
        <v>1652.35</v>
      </c>
      <c r="F24">
        <f>IF(Tradebook_2023_2026[[#This Row],[Trade Type]]="buy",-(Tradebook_2023_2026[[#This Row],[Quantity]]*Tradebook_2023_2026[[#This Row],[Price]]),(Tradebook_2023_2026[[#This Row],[Quantity]]*Tradebook_2023_2026[[#This Row],[Price]]))</f>
        <v>16523.5</v>
      </c>
    </row>
    <row r="25" spans="1:6">
      <c r="A25" t="s">
        <v>12</v>
      </c>
      <c r="B25" s="1">
        <v>46056</v>
      </c>
      <c r="C25" t="s">
        <v>6</v>
      </c>
      <c r="D25">
        <v>114</v>
      </c>
      <c r="E25">
        <v>1652.4</v>
      </c>
      <c r="F25">
        <f>IF(Tradebook_2023_2026[[#This Row],[Trade Type]]="buy",-(Tradebook_2023_2026[[#This Row],[Quantity]]*Tradebook_2023_2026[[#This Row],[Price]]),(Tradebook_2023_2026[[#This Row],[Quantity]]*Tradebook_2023_2026[[#This Row],[Price]]))</f>
        <v>188373.6</v>
      </c>
    </row>
    <row r="26" spans="1:6">
      <c r="A26" t="s">
        <v>12</v>
      </c>
      <c r="B26" s="1">
        <v>46056</v>
      </c>
      <c r="C26" t="s">
        <v>6</v>
      </c>
      <c r="D26">
        <v>16</v>
      </c>
      <c r="E26">
        <v>1650.7</v>
      </c>
      <c r="F26">
        <f>IF(Tradebook_2023_2026[[#This Row],[Trade Type]]="buy",-(Tradebook_2023_2026[[#This Row],[Quantity]]*Tradebook_2023_2026[[#This Row],[Price]]),(Tradebook_2023_2026[[#This Row],[Quantity]]*Tradebook_2023_2026[[#This Row],[Price]]))</f>
        <v>26411.200000000001</v>
      </c>
    </row>
    <row r="27" spans="1:6">
      <c r="A27" t="s">
        <v>12</v>
      </c>
      <c r="B27" s="1">
        <v>46056</v>
      </c>
      <c r="C27" t="s">
        <v>6</v>
      </c>
      <c r="D27">
        <v>20</v>
      </c>
      <c r="E27">
        <v>1653</v>
      </c>
      <c r="F27">
        <f>IF(Tradebook_2023_2026[[#This Row],[Trade Type]]="buy",-(Tradebook_2023_2026[[#This Row],[Quantity]]*Tradebook_2023_2026[[#This Row],[Price]]),(Tradebook_2023_2026[[#This Row],[Quantity]]*Tradebook_2023_2026[[#This Row],[Price]]))</f>
        <v>33060</v>
      </c>
    </row>
    <row r="28" spans="1:6">
      <c r="A28" t="s">
        <v>12</v>
      </c>
      <c r="B28" s="1">
        <v>46056</v>
      </c>
      <c r="C28" t="s">
        <v>6</v>
      </c>
      <c r="D28">
        <v>22</v>
      </c>
      <c r="E28">
        <v>1652.9</v>
      </c>
      <c r="F28">
        <f>IF(Tradebook_2023_2026[[#This Row],[Trade Type]]="buy",-(Tradebook_2023_2026[[#This Row],[Quantity]]*Tradebook_2023_2026[[#This Row],[Price]]),(Tradebook_2023_2026[[#This Row],[Quantity]]*Tradebook_2023_2026[[#This Row],[Price]]))</f>
        <v>36363.800000000003</v>
      </c>
    </row>
    <row r="29" spans="1:6">
      <c r="A29" t="s">
        <v>12</v>
      </c>
      <c r="B29" s="1">
        <v>46056</v>
      </c>
      <c r="C29" t="s">
        <v>6</v>
      </c>
      <c r="D29">
        <v>29</v>
      </c>
      <c r="E29">
        <v>1652.2</v>
      </c>
      <c r="F29">
        <f>IF(Tradebook_2023_2026[[#This Row],[Trade Type]]="buy",-(Tradebook_2023_2026[[#This Row],[Quantity]]*Tradebook_2023_2026[[#This Row],[Price]]),(Tradebook_2023_2026[[#This Row],[Quantity]]*Tradebook_2023_2026[[#This Row],[Price]]))</f>
        <v>47913.8</v>
      </c>
    </row>
    <row r="30" spans="1:6">
      <c r="A30" t="s">
        <v>12</v>
      </c>
      <c r="B30" s="1">
        <v>46056</v>
      </c>
      <c r="C30" t="s">
        <v>6</v>
      </c>
      <c r="D30">
        <v>32</v>
      </c>
      <c r="E30">
        <v>1651.65</v>
      </c>
      <c r="F30">
        <f>IF(Tradebook_2023_2026[[#This Row],[Trade Type]]="buy",-(Tradebook_2023_2026[[#This Row],[Quantity]]*Tradebook_2023_2026[[#This Row],[Price]]),(Tradebook_2023_2026[[#This Row],[Quantity]]*Tradebook_2023_2026[[#This Row],[Price]]))</f>
        <v>52852.800000000003</v>
      </c>
    </row>
    <row r="31" spans="1:6">
      <c r="A31" t="s">
        <v>12</v>
      </c>
      <c r="B31" s="1">
        <v>46056</v>
      </c>
      <c r="C31" t="s">
        <v>6</v>
      </c>
      <c r="D31">
        <v>36</v>
      </c>
      <c r="E31">
        <v>1653.3</v>
      </c>
      <c r="F31">
        <f>IF(Tradebook_2023_2026[[#This Row],[Trade Type]]="buy",-(Tradebook_2023_2026[[#This Row],[Quantity]]*Tradebook_2023_2026[[#This Row],[Price]]),(Tradebook_2023_2026[[#This Row],[Quantity]]*Tradebook_2023_2026[[#This Row],[Price]]))</f>
        <v>59518.799999999996</v>
      </c>
    </row>
    <row r="32" spans="1:6">
      <c r="A32" t="s">
        <v>12</v>
      </c>
      <c r="B32" s="1">
        <v>46056</v>
      </c>
      <c r="C32" t="s">
        <v>6</v>
      </c>
      <c r="D32">
        <v>43</v>
      </c>
      <c r="E32">
        <v>1653.15</v>
      </c>
      <c r="F32">
        <f>IF(Tradebook_2023_2026[[#This Row],[Trade Type]]="buy",-(Tradebook_2023_2026[[#This Row],[Quantity]]*Tradebook_2023_2026[[#This Row],[Price]]),(Tradebook_2023_2026[[#This Row],[Quantity]]*Tradebook_2023_2026[[#This Row],[Price]]))</f>
        <v>71085.45</v>
      </c>
    </row>
    <row r="33" spans="1:6">
      <c r="A33" t="s">
        <v>12</v>
      </c>
      <c r="B33" s="1">
        <v>46056</v>
      </c>
      <c r="C33" t="s">
        <v>6</v>
      </c>
      <c r="D33">
        <v>48</v>
      </c>
      <c r="E33">
        <v>1651.9</v>
      </c>
      <c r="F33">
        <f>IF(Tradebook_2023_2026[[#This Row],[Trade Type]]="buy",-(Tradebook_2023_2026[[#This Row],[Quantity]]*Tradebook_2023_2026[[#This Row],[Price]]),(Tradebook_2023_2026[[#This Row],[Quantity]]*Tradebook_2023_2026[[#This Row],[Price]]))</f>
        <v>79291.200000000012</v>
      </c>
    </row>
    <row r="34" spans="1:6">
      <c r="A34" t="s">
        <v>12</v>
      </c>
      <c r="B34" s="1">
        <v>46056</v>
      </c>
      <c r="C34" t="s">
        <v>6</v>
      </c>
      <c r="D34">
        <v>59</v>
      </c>
      <c r="E34">
        <v>1651.8</v>
      </c>
      <c r="F34">
        <f>IF(Tradebook_2023_2026[[#This Row],[Trade Type]]="buy",-(Tradebook_2023_2026[[#This Row],[Quantity]]*Tradebook_2023_2026[[#This Row],[Price]]),(Tradebook_2023_2026[[#This Row],[Quantity]]*Tradebook_2023_2026[[#This Row],[Price]]))</f>
        <v>97456.2</v>
      </c>
    </row>
    <row r="35" spans="1:6">
      <c r="A35" t="s">
        <v>12</v>
      </c>
      <c r="B35" s="1">
        <v>46056</v>
      </c>
      <c r="C35" t="s">
        <v>6</v>
      </c>
      <c r="D35">
        <v>60</v>
      </c>
      <c r="E35">
        <v>1653.1</v>
      </c>
      <c r="F35">
        <f>IF(Tradebook_2023_2026[[#This Row],[Trade Type]]="buy",-(Tradebook_2023_2026[[#This Row],[Quantity]]*Tradebook_2023_2026[[#This Row],[Price]]),(Tradebook_2023_2026[[#This Row],[Quantity]]*Tradebook_2023_2026[[#This Row],[Price]]))</f>
        <v>99186</v>
      </c>
    </row>
    <row r="36" spans="1:6">
      <c r="A36" t="s">
        <v>12</v>
      </c>
      <c r="B36" s="1">
        <v>46056</v>
      </c>
      <c r="C36" t="s">
        <v>6</v>
      </c>
      <c r="D36">
        <v>6</v>
      </c>
      <c r="E36">
        <v>1652.3</v>
      </c>
      <c r="F36">
        <f>IF(Tradebook_2023_2026[[#This Row],[Trade Type]]="buy",-(Tradebook_2023_2026[[#This Row],[Quantity]]*Tradebook_2023_2026[[#This Row],[Price]]),(Tradebook_2023_2026[[#This Row],[Quantity]]*Tradebook_2023_2026[[#This Row],[Price]]))</f>
        <v>9913.7999999999993</v>
      </c>
    </row>
    <row r="37" spans="1:6">
      <c r="A37" t="s">
        <v>12</v>
      </c>
      <c r="B37" s="1">
        <v>46056</v>
      </c>
      <c r="C37" t="s">
        <v>6</v>
      </c>
      <c r="D37">
        <v>9</v>
      </c>
      <c r="E37">
        <v>1650.75</v>
      </c>
      <c r="F37">
        <f>IF(Tradebook_2023_2026[[#This Row],[Trade Type]]="buy",-(Tradebook_2023_2026[[#This Row],[Quantity]]*Tradebook_2023_2026[[#This Row],[Price]]),(Tradebook_2023_2026[[#This Row],[Quantity]]*Tradebook_2023_2026[[#This Row],[Price]]))</f>
        <v>14856.75</v>
      </c>
    </row>
    <row r="38" spans="1:6">
      <c r="A38" t="s">
        <v>13</v>
      </c>
      <c r="B38" s="1">
        <v>46057</v>
      </c>
      <c r="C38" t="s">
        <v>8</v>
      </c>
      <c r="D38">
        <v>10</v>
      </c>
      <c r="E38">
        <v>1185.5</v>
      </c>
      <c r="F38">
        <f>IF(Tradebook_2023_2026[[#This Row],[Trade Type]]="buy",-(Tradebook_2023_2026[[#This Row],[Quantity]]*Tradebook_2023_2026[[#This Row],[Price]]),(Tradebook_2023_2026[[#This Row],[Quantity]]*Tradebook_2023_2026[[#This Row],[Price]]))</f>
        <v>-11855</v>
      </c>
    </row>
    <row r="39" spans="1:6">
      <c r="A39" t="s">
        <v>13</v>
      </c>
      <c r="B39" s="1">
        <v>46057</v>
      </c>
      <c r="C39" t="s">
        <v>8</v>
      </c>
      <c r="D39">
        <v>10</v>
      </c>
      <c r="E39">
        <v>1185.5999999999999</v>
      </c>
      <c r="F39">
        <f>IF(Tradebook_2023_2026[[#This Row],[Trade Type]]="buy",-(Tradebook_2023_2026[[#This Row],[Quantity]]*Tradebook_2023_2026[[#This Row],[Price]]),(Tradebook_2023_2026[[#This Row],[Quantity]]*Tradebook_2023_2026[[#This Row],[Price]]))</f>
        <v>-11856</v>
      </c>
    </row>
    <row r="40" spans="1:6">
      <c r="A40" t="s">
        <v>13</v>
      </c>
      <c r="B40" s="1">
        <v>46057</v>
      </c>
      <c r="C40" t="s">
        <v>8</v>
      </c>
      <c r="D40">
        <v>36</v>
      </c>
      <c r="E40">
        <v>1185.5999999999999</v>
      </c>
      <c r="F40">
        <f>IF(Tradebook_2023_2026[[#This Row],[Trade Type]]="buy",-(Tradebook_2023_2026[[#This Row],[Quantity]]*Tradebook_2023_2026[[#This Row],[Price]]),(Tradebook_2023_2026[[#This Row],[Quantity]]*Tradebook_2023_2026[[#This Row],[Price]]))</f>
        <v>-42681.599999999999</v>
      </c>
    </row>
    <row r="41" spans="1:6">
      <c r="A41" t="s">
        <v>13</v>
      </c>
      <c r="B41" s="1">
        <v>46057</v>
      </c>
      <c r="C41" t="s">
        <v>8</v>
      </c>
      <c r="D41">
        <v>6</v>
      </c>
      <c r="E41">
        <v>1185.5</v>
      </c>
      <c r="F41">
        <f>IF(Tradebook_2023_2026[[#This Row],[Trade Type]]="buy",-(Tradebook_2023_2026[[#This Row],[Quantity]]*Tradebook_2023_2026[[#This Row],[Price]]),(Tradebook_2023_2026[[#This Row],[Quantity]]*Tradebook_2023_2026[[#This Row],[Price]]))</f>
        <v>-7113</v>
      </c>
    </row>
    <row r="42" spans="1:6">
      <c r="A42" t="s">
        <v>13</v>
      </c>
      <c r="B42" s="1">
        <v>46057</v>
      </c>
      <c r="C42" t="s">
        <v>8</v>
      </c>
      <c r="D42">
        <v>8</v>
      </c>
      <c r="E42">
        <v>1185.5999999999999</v>
      </c>
      <c r="F42">
        <f>IF(Tradebook_2023_2026[[#This Row],[Trade Type]]="buy",-(Tradebook_2023_2026[[#This Row],[Quantity]]*Tradebook_2023_2026[[#This Row],[Price]]),(Tradebook_2023_2026[[#This Row],[Quantity]]*Tradebook_2023_2026[[#This Row],[Price]]))</f>
        <v>-9484.7999999999993</v>
      </c>
    </row>
    <row r="43" spans="1:6">
      <c r="A43" t="s">
        <v>14</v>
      </c>
      <c r="B43" s="1">
        <v>46058</v>
      </c>
      <c r="C43" t="s">
        <v>8</v>
      </c>
      <c r="D43">
        <v>3</v>
      </c>
      <c r="E43">
        <v>507.55</v>
      </c>
      <c r="F43">
        <f>IF(Tradebook_2023_2026[[#This Row],[Trade Type]]="buy",-(Tradebook_2023_2026[[#This Row],[Quantity]]*Tradebook_2023_2026[[#This Row],[Price]]),(Tradebook_2023_2026[[#This Row],[Quantity]]*Tradebook_2023_2026[[#This Row],[Price]]))</f>
        <v>-1522.65</v>
      </c>
    </row>
    <row r="44" spans="1:6">
      <c r="A44" t="s">
        <v>15</v>
      </c>
      <c r="B44" s="1">
        <v>46059</v>
      </c>
      <c r="C44" t="s">
        <v>8</v>
      </c>
      <c r="D44">
        <v>25</v>
      </c>
      <c r="E44">
        <v>4008</v>
      </c>
      <c r="F44">
        <f>IF(Tradebook_2023_2026[[#This Row],[Trade Type]]="buy",-(Tradebook_2023_2026[[#This Row],[Quantity]]*Tradebook_2023_2026[[#This Row],[Price]]),(Tradebook_2023_2026[[#This Row],[Quantity]]*Tradebook_2023_2026[[#This Row],[Price]]))</f>
        <v>-100200</v>
      </c>
    </row>
    <row r="45" spans="1:6">
      <c r="A45" t="s">
        <v>16</v>
      </c>
      <c r="B45" s="1">
        <v>46062</v>
      </c>
      <c r="C45" t="s">
        <v>8</v>
      </c>
      <c r="D45">
        <v>10</v>
      </c>
      <c r="E45">
        <v>358.25</v>
      </c>
      <c r="F45">
        <f>IF(Tradebook_2023_2026[[#This Row],[Trade Type]]="buy",-(Tradebook_2023_2026[[#This Row],[Quantity]]*Tradebook_2023_2026[[#This Row],[Price]]),(Tradebook_2023_2026[[#This Row],[Quantity]]*Tradebook_2023_2026[[#This Row],[Price]]))</f>
        <v>-3582.5</v>
      </c>
    </row>
    <row r="46" spans="1:6">
      <c r="A46" t="s">
        <v>16</v>
      </c>
      <c r="B46" s="1">
        <v>46062</v>
      </c>
      <c r="C46" t="s">
        <v>8</v>
      </c>
      <c r="D46">
        <v>10</v>
      </c>
      <c r="E46">
        <v>358.25</v>
      </c>
      <c r="F46">
        <f>IF(Tradebook_2023_2026[[#This Row],[Trade Type]]="buy",-(Tradebook_2023_2026[[#This Row],[Quantity]]*Tradebook_2023_2026[[#This Row],[Price]]),(Tradebook_2023_2026[[#This Row],[Quantity]]*Tradebook_2023_2026[[#This Row],[Price]]))</f>
        <v>-3582.5</v>
      </c>
    </row>
    <row r="47" spans="1:6">
      <c r="A47" t="s">
        <v>16</v>
      </c>
      <c r="B47" s="1">
        <v>46062</v>
      </c>
      <c r="C47" t="s">
        <v>8</v>
      </c>
      <c r="D47">
        <v>1</v>
      </c>
      <c r="E47">
        <v>358.25</v>
      </c>
      <c r="F47">
        <f>IF(Tradebook_2023_2026[[#This Row],[Trade Type]]="buy",-(Tradebook_2023_2026[[#This Row],[Quantity]]*Tradebook_2023_2026[[#This Row],[Price]]),(Tradebook_2023_2026[[#This Row],[Quantity]]*Tradebook_2023_2026[[#This Row],[Price]]))</f>
        <v>-358.25</v>
      </c>
    </row>
    <row r="48" spans="1:6">
      <c r="A48" t="s">
        <v>16</v>
      </c>
      <c r="B48" s="1">
        <v>46062</v>
      </c>
      <c r="C48" t="s">
        <v>8</v>
      </c>
      <c r="D48">
        <v>138</v>
      </c>
      <c r="E48">
        <v>358.25</v>
      </c>
      <c r="F48">
        <f>IF(Tradebook_2023_2026[[#This Row],[Trade Type]]="buy",-(Tradebook_2023_2026[[#This Row],[Quantity]]*Tradebook_2023_2026[[#This Row],[Price]]),(Tradebook_2023_2026[[#This Row],[Quantity]]*Tradebook_2023_2026[[#This Row],[Price]]))</f>
        <v>-49438.5</v>
      </c>
    </row>
    <row r="49" spans="1:6">
      <c r="A49" t="s">
        <v>16</v>
      </c>
      <c r="B49" s="1">
        <v>46062</v>
      </c>
      <c r="C49" t="s">
        <v>8</v>
      </c>
      <c r="D49">
        <v>2</v>
      </c>
      <c r="E49">
        <v>358.25</v>
      </c>
      <c r="F49">
        <f>IF(Tradebook_2023_2026[[#This Row],[Trade Type]]="buy",-(Tradebook_2023_2026[[#This Row],[Quantity]]*Tradebook_2023_2026[[#This Row],[Price]]),(Tradebook_2023_2026[[#This Row],[Quantity]]*Tradebook_2023_2026[[#This Row],[Price]]))</f>
        <v>-716.5</v>
      </c>
    </row>
    <row r="50" spans="1:6">
      <c r="A50" t="s">
        <v>16</v>
      </c>
      <c r="B50" s="1">
        <v>46062</v>
      </c>
      <c r="C50" t="s">
        <v>8</v>
      </c>
      <c r="D50">
        <v>2</v>
      </c>
      <c r="E50">
        <v>358.25</v>
      </c>
      <c r="F50">
        <f>IF(Tradebook_2023_2026[[#This Row],[Trade Type]]="buy",-(Tradebook_2023_2026[[#This Row],[Quantity]]*Tradebook_2023_2026[[#This Row],[Price]]),(Tradebook_2023_2026[[#This Row],[Quantity]]*Tradebook_2023_2026[[#This Row],[Price]]))</f>
        <v>-716.5</v>
      </c>
    </row>
    <row r="51" spans="1:6">
      <c r="A51" t="s">
        <v>16</v>
      </c>
      <c r="B51" s="1">
        <v>46062</v>
      </c>
      <c r="C51" t="s">
        <v>8</v>
      </c>
      <c r="D51">
        <v>2</v>
      </c>
      <c r="E51">
        <v>358.25</v>
      </c>
      <c r="F51">
        <f>IF(Tradebook_2023_2026[[#This Row],[Trade Type]]="buy",-(Tradebook_2023_2026[[#This Row],[Quantity]]*Tradebook_2023_2026[[#This Row],[Price]]),(Tradebook_2023_2026[[#This Row],[Quantity]]*Tradebook_2023_2026[[#This Row],[Price]]))</f>
        <v>-716.5</v>
      </c>
    </row>
    <row r="52" spans="1:6">
      <c r="A52" t="s">
        <v>16</v>
      </c>
      <c r="B52" s="1">
        <v>46062</v>
      </c>
      <c r="C52" t="s">
        <v>8</v>
      </c>
      <c r="D52">
        <v>50</v>
      </c>
      <c r="E52">
        <v>358.25</v>
      </c>
      <c r="F52">
        <f>IF(Tradebook_2023_2026[[#This Row],[Trade Type]]="buy",-(Tradebook_2023_2026[[#This Row],[Quantity]]*Tradebook_2023_2026[[#This Row],[Price]]),(Tradebook_2023_2026[[#This Row],[Quantity]]*Tradebook_2023_2026[[#This Row],[Price]]))</f>
        <v>-17912.5</v>
      </c>
    </row>
    <row r="53" spans="1:6">
      <c r="A53" t="s">
        <v>16</v>
      </c>
      <c r="B53" s="1">
        <v>46062</v>
      </c>
      <c r="C53" t="s">
        <v>8</v>
      </c>
      <c r="D53">
        <v>5</v>
      </c>
      <c r="E53">
        <v>358.25</v>
      </c>
      <c r="F53">
        <f>IF(Tradebook_2023_2026[[#This Row],[Trade Type]]="buy",-(Tradebook_2023_2026[[#This Row],[Quantity]]*Tradebook_2023_2026[[#This Row],[Price]]),(Tradebook_2023_2026[[#This Row],[Quantity]]*Tradebook_2023_2026[[#This Row],[Price]]))</f>
        <v>-1791.25</v>
      </c>
    </row>
    <row r="54" spans="1:6">
      <c r="A54" t="s">
        <v>16</v>
      </c>
      <c r="B54" s="1">
        <v>46062</v>
      </c>
      <c r="C54" t="s">
        <v>8</v>
      </c>
      <c r="D54">
        <v>655</v>
      </c>
      <c r="E54">
        <v>358.25</v>
      </c>
      <c r="F54">
        <f>IF(Tradebook_2023_2026[[#This Row],[Trade Type]]="buy",-(Tradebook_2023_2026[[#This Row],[Quantity]]*Tradebook_2023_2026[[#This Row],[Price]]),(Tradebook_2023_2026[[#This Row],[Quantity]]*Tradebook_2023_2026[[#This Row],[Price]]))</f>
        <v>-234653.75</v>
      </c>
    </row>
    <row r="55" spans="1:6">
      <c r="A55" t="s">
        <v>17</v>
      </c>
      <c r="B55" s="1">
        <v>46062</v>
      </c>
      <c r="C55" t="s">
        <v>8</v>
      </c>
      <c r="D55">
        <v>189</v>
      </c>
      <c r="E55">
        <v>417</v>
      </c>
      <c r="F55">
        <f>IF(Tradebook_2023_2026[[#This Row],[Trade Type]]="buy",-(Tradebook_2023_2026[[#This Row],[Quantity]]*Tradebook_2023_2026[[#This Row],[Price]]),(Tradebook_2023_2026[[#This Row],[Quantity]]*Tradebook_2023_2026[[#This Row],[Price]]))</f>
        <v>-78813</v>
      </c>
    </row>
    <row r="56" spans="1:6">
      <c r="A56" t="s">
        <v>17</v>
      </c>
      <c r="B56" s="1">
        <v>46062</v>
      </c>
      <c r="C56" t="s">
        <v>8</v>
      </c>
      <c r="D56">
        <v>21</v>
      </c>
      <c r="E56">
        <v>417</v>
      </c>
      <c r="F56">
        <f>IF(Tradebook_2023_2026[[#This Row],[Trade Type]]="buy",-(Tradebook_2023_2026[[#This Row],[Quantity]]*Tradebook_2023_2026[[#This Row],[Price]]),(Tradebook_2023_2026[[#This Row],[Quantity]]*Tradebook_2023_2026[[#This Row],[Price]]))</f>
        <v>-8757</v>
      </c>
    </row>
    <row r="57" spans="1:6">
      <c r="A57" t="s">
        <v>17</v>
      </c>
      <c r="B57" s="1">
        <v>46062</v>
      </c>
      <c r="C57" t="s">
        <v>8</v>
      </c>
      <c r="D57">
        <v>390</v>
      </c>
      <c r="E57">
        <v>417</v>
      </c>
      <c r="F57">
        <f>IF(Tradebook_2023_2026[[#This Row],[Trade Type]]="buy",-(Tradebook_2023_2026[[#This Row],[Quantity]]*Tradebook_2023_2026[[#This Row],[Price]]),(Tradebook_2023_2026[[#This Row],[Quantity]]*Tradebook_2023_2026[[#This Row],[Price]]))</f>
        <v>-162630</v>
      </c>
    </row>
    <row r="58" spans="1:6">
      <c r="A58" t="s">
        <v>18</v>
      </c>
      <c r="B58" s="1">
        <v>46062</v>
      </c>
      <c r="C58" t="s">
        <v>8</v>
      </c>
      <c r="D58">
        <v>600</v>
      </c>
      <c r="E58">
        <v>357</v>
      </c>
      <c r="F58">
        <f>IF(Tradebook_2023_2026[[#This Row],[Trade Type]]="buy",-(Tradebook_2023_2026[[#This Row],[Quantity]]*Tradebook_2023_2026[[#This Row],[Price]]),(Tradebook_2023_2026[[#This Row],[Quantity]]*Tradebook_2023_2026[[#This Row],[Price]]))</f>
        <v>-214200</v>
      </c>
    </row>
    <row r="59" spans="1:6">
      <c r="A59" t="s">
        <v>19</v>
      </c>
      <c r="B59" s="1">
        <v>46064</v>
      </c>
      <c r="C59" t="s">
        <v>6</v>
      </c>
      <c r="D59">
        <v>1</v>
      </c>
      <c r="E59">
        <v>7452.6499000000003</v>
      </c>
      <c r="F59">
        <f>IF(Tradebook_2023_2026[[#This Row],[Trade Type]]="buy",-(Tradebook_2023_2026[[#This Row],[Quantity]]*Tradebook_2023_2026[[#This Row],[Price]]),(Tradebook_2023_2026[[#This Row],[Quantity]]*Tradebook_2023_2026[[#This Row],[Price]]))</f>
        <v>7452.6499000000003</v>
      </c>
    </row>
    <row r="60" spans="1:6">
      <c r="A60" t="s">
        <v>20</v>
      </c>
      <c r="B60" s="1">
        <v>46064</v>
      </c>
      <c r="C60" t="s">
        <v>6</v>
      </c>
      <c r="D60">
        <v>200</v>
      </c>
      <c r="E60">
        <v>18.899999999999999</v>
      </c>
      <c r="F60">
        <f>IF(Tradebook_2023_2026[[#This Row],[Trade Type]]="buy",-(Tradebook_2023_2026[[#This Row],[Quantity]]*Tradebook_2023_2026[[#This Row],[Price]]),(Tradebook_2023_2026[[#This Row],[Quantity]]*Tradebook_2023_2026[[#This Row],[Price]]))</f>
        <v>3779.9999999999995</v>
      </c>
    </row>
    <row r="61" spans="1:6">
      <c r="A61" t="s">
        <v>21</v>
      </c>
      <c r="B61" s="1">
        <v>46064</v>
      </c>
      <c r="C61" t="s">
        <v>6</v>
      </c>
      <c r="D61">
        <v>2</v>
      </c>
      <c r="E61">
        <v>252.04</v>
      </c>
      <c r="F61">
        <f>IF(Tradebook_2023_2026[[#This Row],[Trade Type]]="buy",-(Tradebook_2023_2026[[#This Row],[Quantity]]*Tradebook_2023_2026[[#This Row],[Price]]),(Tradebook_2023_2026[[#This Row],[Quantity]]*Tradebook_2023_2026[[#This Row],[Price]]))</f>
        <v>504.08</v>
      </c>
    </row>
    <row r="62" spans="1:6">
      <c r="A62" t="s">
        <v>21</v>
      </c>
      <c r="B62" s="1">
        <v>46064</v>
      </c>
      <c r="C62" t="s">
        <v>6</v>
      </c>
      <c r="D62">
        <v>31</v>
      </c>
      <c r="E62">
        <v>252.01</v>
      </c>
      <c r="F62">
        <f>IF(Tradebook_2023_2026[[#This Row],[Trade Type]]="buy",-(Tradebook_2023_2026[[#This Row],[Quantity]]*Tradebook_2023_2026[[#This Row],[Price]]),(Tradebook_2023_2026[[#This Row],[Quantity]]*Tradebook_2023_2026[[#This Row],[Price]]))</f>
        <v>7812.3099999999995</v>
      </c>
    </row>
    <row r="63" spans="1:6">
      <c r="A63" t="s">
        <v>21</v>
      </c>
      <c r="B63" s="1">
        <v>46064</v>
      </c>
      <c r="C63" t="s">
        <v>6</v>
      </c>
      <c r="D63">
        <v>3</v>
      </c>
      <c r="E63">
        <v>252.03</v>
      </c>
      <c r="F63">
        <f>IF(Tradebook_2023_2026[[#This Row],[Trade Type]]="buy",-(Tradebook_2023_2026[[#This Row],[Quantity]]*Tradebook_2023_2026[[#This Row],[Price]]),(Tradebook_2023_2026[[#This Row],[Quantity]]*Tradebook_2023_2026[[#This Row],[Price]]))</f>
        <v>756.09</v>
      </c>
    </row>
    <row r="64" spans="1:6">
      <c r="A64" t="s">
        <v>21</v>
      </c>
      <c r="B64" s="1">
        <v>46064</v>
      </c>
      <c r="C64" t="s">
        <v>6</v>
      </c>
      <c r="D64">
        <v>4</v>
      </c>
      <c r="E64">
        <v>252</v>
      </c>
      <c r="F64">
        <f>IF(Tradebook_2023_2026[[#This Row],[Trade Type]]="buy",-(Tradebook_2023_2026[[#This Row],[Quantity]]*Tradebook_2023_2026[[#This Row],[Price]]),(Tradebook_2023_2026[[#This Row],[Quantity]]*Tradebook_2023_2026[[#This Row],[Price]]))</f>
        <v>1008</v>
      </c>
    </row>
    <row r="65" spans="1:6">
      <c r="A65" t="s">
        <v>22</v>
      </c>
      <c r="B65" s="1">
        <v>46065</v>
      </c>
      <c r="C65" t="s">
        <v>8</v>
      </c>
      <c r="D65">
        <v>1</v>
      </c>
      <c r="E65">
        <v>1434.4</v>
      </c>
      <c r="F65">
        <f>IF(Tradebook_2023_2026[[#This Row],[Trade Type]]="buy",-(Tradebook_2023_2026[[#This Row],[Quantity]]*Tradebook_2023_2026[[#This Row],[Price]]),(Tradebook_2023_2026[[#This Row],[Quantity]]*Tradebook_2023_2026[[#This Row],[Price]]))</f>
        <v>-1434.4</v>
      </c>
    </row>
    <row r="66" spans="1:6">
      <c r="A66" t="s">
        <v>22</v>
      </c>
      <c r="B66" s="1">
        <v>46065</v>
      </c>
      <c r="C66" t="s">
        <v>8</v>
      </c>
      <c r="D66">
        <v>65</v>
      </c>
      <c r="E66">
        <v>1434.5</v>
      </c>
      <c r="F66">
        <f>IF(Tradebook_2023_2026[[#This Row],[Trade Type]]="buy",-(Tradebook_2023_2026[[#This Row],[Quantity]]*Tradebook_2023_2026[[#This Row],[Price]]),(Tradebook_2023_2026[[#This Row],[Quantity]]*Tradebook_2023_2026[[#This Row],[Price]]))</f>
        <v>-93242.5</v>
      </c>
    </row>
    <row r="67" spans="1:6">
      <c r="A67" t="s">
        <v>22</v>
      </c>
      <c r="B67" s="1">
        <v>46065</v>
      </c>
      <c r="C67" t="s">
        <v>8</v>
      </c>
      <c r="D67">
        <v>84</v>
      </c>
      <c r="E67">
        <v>1434.4</v>
      </c>
      <c r="F67">
        <f>IF(Tradebook_2023_2026[[#This Row],[Trade Type]]="buy",-(Tradebook_2023_2026[[#This Row],[Quantity]]*Tradebook_2023_2026[[#This Row],[Price]]),(Tradebook_2023_2026[[#This Row],[Quantity]]*Tradebook_2023_2026[[#This Row],[Price]]))</f>
        <v>-120489.60000000001</v>
      </c>
    </row>
    <row r="68" spans="1:6">
      <c r="A68" t="s">
        <v>23</v>
      </c>
      <c r="B68" s="1">
        <v>46065</v>
      </c>
      <c r="C68" t="s">
        <v>6</v>
      </c>
      <c r="D68">
        <v>62</v>
      </c>
      <c r="E68">
        <v>1766</v>
      </c>
      <c r="F68">
        <f>IF(Tradebook_2023_2026[[#This Row],[Trade Type]]="buy",-(Tradebook_2023_2026[[#This Row],[Quantity]]*Tradebook_2023_2026[[#This Row],[Price]]),(Tradebook_2023_2026[[#This Row],[Quantity]]*Tradebook_2023_2026[[#This Row],[Price]]))</f>
        <v>109492</v>
      </c>
    </row>
    <row r="69" spans="1:6">
      <c r="A69" t="s">
        <v>23</v>
      </c>
      <c r="B69" s="1">
        <v>46065</v>
      </c>
      <c r="C69" t="s">
        <v>6</v>
      </c>
      <c r="D69">
        <v>87</v>
      </c>
      <c r="E69">
        <v>1766</v>
      </c>
      <c r="F69">
        <f>IF(Tradebook_2023_2026[[#This Row],[Trade Type]]="buy",-(Tradebook_2023_2026[[#This Row],[Quantity]]*Tradebook_2023_2026[[#This Row],[Price]]),(Tradebook_2023_2026[[#This Row],[Quantity]]*Tradebook_2023_2026[[#This Row],[Price]]))</f>
        <v>153642</v>
      </c>
    </row>
    <row r="70" spans="1:6">
      <c r="A70" t="s">
        <v>24</v>
      </c>
      <c r="B70" s="1">
        <v>46065</v>
      </c>
      <c r="C70" t="s">
        <v>8</v>
      </c>
      <c r="D70">
        <v>10</v>
      </c>
      <c r="E70">
        <v>3780</v>
      </c>
      <c r="F70">
        <f>IF(Tradebook_2023_2026[[#This Row],[Trade Type]]="buy",-(Tradebook_2023_2026[[#This Row],[Quantity]]*Tradebook_2023_2026[[#This Row],[Price]]),(Tradebook_2023_2026[[#This Row],[Quantity]]*Tradebook_2023_2026[[#This Row],[Price]]))</f>
        <v>-37800</v>
      </c>
    </row>
    <row r="71" spans="1:6">
      <c r="A71" t="s">
        <v>25</v>
      </c>
      <c r="B71" s="1">
        <v>46065</v>
      </c>
      <c r="C71" t="s">
        <v>8</v>
      </c>
      <c r="D71">
        <v>154</v>
      </c>
      <c r="E71">
        <v>262.99</v>
      </c>
      <c r="F71">
        <f>IF(Tradebook_2023_2026[[#This Row],[Trade Type]]="buy",-(Tradebook_2023_2026[[#This Row],[Quantity]]*Tradebook_2023_2026[[#This Row],[Price]]),(Tradebook_2023_2026[[#This Row],[Quantity]]*Tradebook_2023_2026[[#This Row],[Price]]))</f>
        <v>-40500.46</v>
      </c>
    </row>
    <row r="72" spans="1:6">
      <c r="A72" t="s">
        <v>25</v>
      </c>
      <c r="B72" s="1">
        <v>46065</v>
      </c>
      <c r="C72" t="s">
        <v>8</v>
      </c>
      <c r="D72">
        <v>276</v>
      </c>
      <c r="E72">
        <v>262.99</v>
      </c>
      <c r="F72">
        <f>IF(Tradebook_2023_2026[[#This Row],[Trade Type]]="buy",-(Tradebook_2023_2026[[#This Row],[Quantity]]*Tradebook_2023_2026[[#This Row],[Price]]),(Tradebook_2023_2026[[#This Row],[Quantity]]*Tradebook_2023_2026[[#This Row],[Price]]))</f>
        <v>-72585.240000000005</v>
      </c>
    </row>
    <row r="73" spans="1:6">
      <c r="A73" t="s">
        <v>25</v>
      </c>
      <c r="B73" s="1">
        <v>46065</v>
      </c>
      <c r="C73" t="s">
        <v>8</v>
      </c>
      <c r="D73">
        <v>330</v>
      </c>
      <c r="E73">
        <v>263</v>
      </c>
      <c r="F73">
        <f>IF(Tradebook_2023_2026[[#This Row],[Trade Type]]="buy",-(Tradebook_2023_2026[[#This Row],[Quantity]]*Tradebook_2023_2026[[#This Row],[Price]]),(Tradebook_2023_2026[[#This Row],[Quantity]]*Tradebook_2023_2026[[#This Row],[Price]]))</f>
        <v>-86790</v>
      </c>
    </row>
    <row r="74" spans="1:6">
      <c r="A74" t="s">
        <v>26</v>
      </c>
      <c r="B74" s="1">
        <v>46069</v>
      </c>
      <c r="C74" t="s">
        <v>8</v>
      </c>
      <c r="D74">
        <v>26</v>
      </c>
      <c r="E74">
        <v>569.9</v>
      </c>
      <c r="F74">
        <f>IF(Tradebook_2023_2026[[#This Row],[Trade Type]]="buy",-(Tradebook_2023_2026[[#This Row],[Quantity]]*Tradebook_2023_2026[[#This Row],[Price]]),(Tradebook_2023_2026[[#This Row],[Quantity]]*Tradebook_2023_2026[[#This Row],[Price]]))</f>
        <v>-14817.4</v>
      </c>
    </row>
    <row r="75" spans="1:6">
      <c r="A75" t="s">
        <v>26</v>
      </c>
      <c r="B75" s="1">
        <v>46069</v>
      </c>
      <c r="C75" t="s">
        <v>8</v>
      </c>
      <c r="D75">
        <v>287</v>
      </c>
      <c r="E75">
        <v>570</v>
      </c>
      <c r="F75">
        <f>IF(Tradebook_2023_2026[[#This Row],[Trade Type]]="buy",-(Tradebook_2023_2026[[#This Row],[Quantity]]*Tradebook_2023_2026[[#This Row],[Price]]),(Tradebook_2023_2026[[#This Row],[Quantity]]*Tradebook_2023_2026[[#This Row],[Price]]))</f>
        <v>-163590</v>
      </c>
    </row>
    <row r="76" spans="1:6">
      <c r="A76" t="s">
        <v>27</v>
      </c>
      <c r="B76" s="1">
        <v>46069</v>
      </c>
      <c r="C76" t="s">
        <v>8</v>
      </c>
      <c r="D76">
        <v>136</v>
      </c>
      <c r="E76">
        <v>712.25</v>
      </c>
      <c r="F76">
        <f>IF(Tradebook_2023_2026[[#This Row],[Trade Type]]="buy",-(Tradebook_2023_2026[[#This Row],[Quantity]]*Tradebook_2023_2026[[#This Row],[Price]]),(Tradebook_2023_2026[[#This Row],[Quantity]]*Tradebook_2023_2026[[#This Row],[Price]]))</f>
        <v>-96866</v>
      </c>
    </row>
    <row r="77" spans="1:6">
      <c r="A77" t="s">
        <v>27</v>
      </c>
      <c r="B77" s="1">
        <v>46069</v>
      </c>
      <c r="C77" t="s">
        <v>8</v>
      </c>
      <c r="D77">
        <v>142</v>
      </c>
      <c r="E77">
        <v>712.25</v>
      </c>
      <c r="F77">
        <f>IF(Tradebook_2023_2026[[#This Row],[Trade Type]]="buy",-(Tradebook_2023_2026[[#This Row],[Quantity]]*Tradebook_2023_2026[[#This Row],[Price]]),(Tradebook_2023_2026[[#This Row],[Quantity]]*Tradebook_2023_2026[[#This Row],[Price]]))</f>
        <v>-101139.5</v>
      </c>
    </row>
    <row r="78" spans="1:6">
      <c r="A78" t="s">
        <v>28</v>
      </c>
      <c r="B78" s="1">
        <v>46069</v>
      </c>
      <c r="C78" t="s">
        <v>8</v>
      </c>
      <c r="D78">
        <v>1</v>
      </c>
      <c r="E78">
        <v>5753</v>
      </c>
      <c r="F78">
        <f>IF(Tradebook_2023_2026[[#This Row],[Trade Type]]="buy",-(Tradebook_2023_2026[[#This Row],[Quantity]]*Tradebook_2023_2026[[#This Row],[Price]]),(Tradebook_2023_2026[[#This Row],[Quantity]]*Tradebook_2023_2026[[#This Row],[Price]]))</f>
        <v>-5753</v>
      </c>
    </row>
    <row r="79" spans="1:6">
      <c r="A79" t="s">
        <v>28</v>
      </c>
      <c r="B79" s="1">
        <v>46069</v>
      </c>
      <c r="C79" t="s">
        <v>8</v>
      </c>
      <c r="D79">
        <v>28</v>
      </c>
      <c r="E79">
        <v>5753</v>
      </c>
      <c r="F79">
        <f>IF(Tradebook_2023_2026[[#This Row],[Trade Type]]="buy",-(Tradebook_2023_2026[[#This Row],[Quantity]]*Tradebook_2023_2026[[#This Row],[Price]]),(Tradebook_2023_2026[[#This Row],[Quantity]]*Tradebook_2023_2026[[#This Row],[Price]]))</f>
        <v>-161084</v>
      </c>
    </row>
    <row r="80" spans="1:6">
      <c r="A80" t="s">
        <v>28</v>
      </c>
      <c r="B80" s="1">
        <v>46069</v>
      </c>
      <c r="C80" t="s">
        <v>8</v>
      </c>
      <c r="D80">
        <v>5</v>
      </c>
      <c r="E80">
        <v>5753</v>
      </c>
      <c r="F80">
        <f>IF(Tradebook_2023_2026[[#This Row],[Trade Type]]="buy",-(Tradebook_2023_2026[[#This Row],[Quantity]]*Tradebook_2023_2026[[#This Row],[Price]]),(Tradebook_2023_2026[[#This Row],[Quantity]]*Tradebook_2023_2026[[#This Row],[Price]]))</f>
        <v>-28765</v>
      </c>
    </row>
    <row r="81" spans="1:6">
      <c r="A81" t="s">
        <v>29</v>
      </c>
      <c r="B81" s="1">
        <v>46070</v>
      </c>
      <c r="C81" t="s">
        <v>8</v>
      </c>
      <c r="D81">
        <v>100</v>
      </c>
      <c r="E81">
        <v>224</v>
      </c>
      <c r="F81">
        <f>IF(Tradebook_2023_2026[[#This Row],[Trade Type]]="buy",-(Tradebook_2023_2026[[#This Row],[Quantity]]*Tradebook_2023_2026[[#This Row],[Price]]),(Tradebook_2023_2026[[#This Row],[Quantity]]*Tradebook_2023_2026[[#This Row],[Price]]))</f>
        <v>-22400</v>
      </c>
    </row>
    <row r="82" spans="1:6">
      <c r="A82" t="s">
        <v>29</v>
      </c>
      <c r="B82" s="1">
        <v>46070</v>
      </c>
      <c r="C82" t="s">
        <v>8</v>
      </c>
      <c r="D82">
        <v>13</v>
      </c>
      <c r="E82">
        <v>224</v>
      </c>
      <c r="F82">
        <f>IF(Tradebook_2023_2026[[#This Row],[Trade Type]]="buy",-(Tradebook_2023_2026[[#This Row],[Quantity]]*Tradebook_2023_2026[[#This Row],[Price]]),(Tradebook_2023_2026[[#This Row],[Quantity]]*Tradebook_2023_2026[[#This Row],[Price]]))</f>
        <v>-2912</v>
      </c>
    </row>
    <row r="83" spans="1:6">
      <c r="A83" t="s">
        <v>29</v>
      </c>
      <c r="B83" s="1">
        <v>46070</v>
      </c>
      <c r="C83" t="s">
        <v>8</v>
      </c>
      <c r="D83">
        <v>683</v>
      </c>
      <c r="E83">
        <v>224</v>
      </c>
      <c r="F83">
        <f>IF(Tradebook_2023_2026[[#This Row],[Trade Type]]="buy",-(Tradebook_2023_2026[[#This Row],[Quantity]]*Tradebook_2023_2026[[#This Row],[Price]]),(Tradebook_2023_2026[[#This Row],[Quantity]]*Tradebook_2023_2026[[#This Row],[Price]]))</f>
        <v>-152992</v>
      </c>
    </row>
    <row r="84" spans="1:6">
      <c r="A84" t="s">
        <v>29</v>
      </c>
      <c r="B84" s="1">
        <v>46070</v>
      </c>
      <c r="C84" t="s">
        <v>8</v>
      </c>
      <c r="D84">
        <v>96</v>
      </c>
      <c r="E84">
        <v>224</v>
      </c>
      <c r="F84">
        <f>IF(Tradebook_2023_2026[[#This Row],[Trade Type]]="buy",-(Tradebook_2023_2026[[#This Row],[Quantity]]*Tradebook_2023_2026[[#This Row],[Price]]),(Tradebook_2023_2026[[#This Row],[Quantity]]*Tradebook_2023_2026[[#This Row],[Price]]))</f>
        <v>-21504</v>
      </c>
    </row>
    <row r="85" spans="1:6">
      <c r="A85" t="s">
        <v>30</v>
      </c>
      <c r="B85" s="1">
        <v>46072</v>
      </c>
      <c r="C85" t="s">
        <v>8</v>
      </c>
      <c r="D85">
        <v>100</v>
      </c>
      <c r="E85">
        <v>141</v>
      </c>
      <c r="F85">
        <f>IF(Tradebook_2023_2026[[#This Row],[Trade Type]]="buy",-(Tradebook_2023_2026[[#This Row],[Quantity]]*Tradebook_2023_2026[[#This Row],[Price]]),(Tradebook_2023_2026[[#This Row],[Quantity]]*Tradebook_2023_2026[[#This Row],[Price]]))</f>
        <v>-14100</v>
      </c>
    </row>
    <row r="86" spans="1:6">
      <c r="A86" t="s">
        <v>30</v>
      </c>
      <c r="B86" s="1">
        <v>46072</v>
      </c>
      <c r="C86" t="s">
        <v>8</v>
      </c>
      <c r="D86">
        <v>10</v>
      </c>
      <c r="E86">
        <v>141</v>
      </c>
      <c r="F86">
        <f>IF(Tradebook_2023_2026[[#This Row],[Trade Type]]="buy",-(Tradebook_2023_2026[[#This Row],[Quantity]]*Tradebook_2023_2026[[#This Row],[Price]]),(Tradebook_2023_2026[[#This Row],[Quantity]]*Tradebook_2023_2026[[#This Row],[Price]]))</f>
        <v>-1410</v>
      </c>
    </row>
    <row r="87" spans="1:6">
      <c r="A87" t="s">
        <v>30</v>
      </c>
      <c r="B87" s="1">
        <v>46072</v>
      </c>
      <c r="C87" t="s">
        <v>8</v>
      </c>
      <c r="D87">
        <v>400</v>
      </c>
      <c r="E87">
        <v>141</v>
      </c>
      <c r="F87">
        <f>IF(Tradebook_2023_2026[[#This Row],[Trade Type]]="buy",-(Tradebook_2023_2026[[#This Row],[Quantity]]*Tradebook_2023_2026[[#This Row],[Price]]),(Tradebook_2023_2026[[#This Row],[Quantity]]*Tradebook_2023_2026[[#This Row],[Price]]))</f>
        <v>-56400</v>
      </c>
    </row>
    <row r="88" spans="1:6">
      <c r="A88" t="s">
        <v>30</v>
      </c>
      <c r="B88" s="1">
        <v>46072</v>
      </c>
      <c r="C88" t="s">
        <v>8</v>
      </c>
      <c r="D88">
        <v>6</v>
      </c>
      <c r="E88">
        <v>140.9</v>
      </c>
      <c r="F88">
        <f>IF(Tradebook_2023_2026[[#This Row],[Trade Type]]="buy",-(Tradebook_2023_2026[[#This Row],[Quantity]]*Tradebook_2023_2026[[#This Row],[Price]]),(Tradebook_2023_2026[[#This Row],[Quantity]]*Tradebook_2023_2026[[#This Row],[Price]]))</f>
        <v>-845.40000000000009</v>
      </c>
    </row>
    <row r="89" spans="1:6">
      <c r="A89" t="s">
        <v>30</v>
      </c>
      <c r="B89" s="1">
        <v>46072</v>
      </c>
      <c r="C89" t="s">
        <v>8</v>
      </c>
      <c r="D89">
        <v>853</v>
      </c>
      <c r="E89">
        <v>141</v>
      </c>
      <c r="F89">
        <f>IF(Tradebook_2023_2026[[#This Row],[Trade Type]]="buy",-(Tradebook_2023_2026[[#This Row],[Quantity]]*Tradebook_2023_2026[[#This Row],[Price]]),(Tradebook_2023_2026[[#This Row],[Quantity]]*Tradebook_2023_2026[[#This Row],[Price]]))</f>
        <v>-120273</v>
      </c>
    </row>
    <row r="90" spans="1:6">
      <c r="A90" t="s">
        <v>24</v>
      </c>
      <c r="B90" s="1">
        <v>46076</v>
      </c>
      <c r="C90" t="s">
        <v>8</v>
      </c>
      <c r="D90">
        <v>11</v>
      </c>
      <c r="E90">
        <v>3473</v>
      </c>
      <c r="F90">
        <f>IF(Tradebook_2023_2026[[#This Row],[Trade Type]]="buy",-(Tradebook_2023_2026[[#This Row],[Quantity]]*Tradebook_2023_2026[[#This Row],[Price]]),(Tradebook_2023_2026[[#This Row],[Quantity]]*Tradebook_2023_2026[[#This Row],[Price]]))</f>
        <v>-38203</v>
      </c>
    </row>
    <row r="91" spans="1:6">
      <c r="A91" t="s">
        <v>24</v>
      </c>
      <c r="B91" s="1">
        <v>46076</v>
      </c>
      <c r="C91" t="s">
        <v>8</v>
      </c>
      <c r="D91">
        <v>6</v>
      </c>
      <c r="E91">
        <v>3472</v>
      </c>
      <c r="F91">
        <f>IF(Tradebook_2023_2026[[#This Row],[Trade Type]]="buy",-(Tradebook_2023_2026[[#This Row],[Quantity]]*Tradebook_2023_2026[[#This Row],[Price]]),(Tradebook_2023_2026[[#This Row],[Quantity]]*Tradebook_2023_2026[[#This Row],[Price]]))</f>
        <v>-20832</v>
      </c>
    </row>
    <row r="92" spans="1:6">
      <c r="A92" t="s">
        <v>31</v>
      </c>
      <c r="B92" s="1">
        <v>46083</v>
      </c>
      <c r="C92" t="s">
        <v>8</v>
      </c>
      <c r="D92">
        <v>10</v>
      </c>
      <c r="E92">
        <v>310</v>
      </c>
      <c r="F92">
        <f>IF(Tradebook_2023_2026[[#This Row],[Trade Type]]="buy",-(Tradebook_2023_2026[[#This Row],[Quantity]]*Tradebook_2023_2026[[#This Row],[Price]]),(Tradebook_2023_2026[[#This Row],[Quantity]]*Tradebook_2023_2026[[#This Row],[Price]]))</f>
        <v>-3100</v>
      </c>
    </row>
    <row r="93" spans="1:6">
      <c r="A93" t="s">
        <v>31</v>
      </c>
      <c r="B93" s="1">
        <v>46083</v>
      </c>
      <c r="C93" t="s">
        <v>8</v>
      </c>
      <c r="D93">
        <v>10</v>
      </c>
      <c r="E93">
        <v>310</v>
      </c>
      <c r="F93">
        <f>IF(Tradebook_2023_2026[[#This Row],[Trade Type]]="buy",-(Tradebook_2023_2026[[#This Row],[Quantity]]*Tradebook_2023_2026[[#This Row],[Price]]),(Tradebook_2023_2026[[#This Row],[Quantity]]*Tradebook_2023_2026[[#This Row],[Price]]))</f>
        <v>-3100</v>
      </c>
    </row>
    <row r="94" spans="1:6">
      <c r="A94" t="s">
        <v>31</v>
      </c>
      <c r="B94" s="1">
        <v>46083</v>
      </c>
      <c r="C94" t="s">
        <v>8</v>
      </c>
      <c r="D94">
        <v>11</v>
      </c>
      <c r="E94">
        <v>310</v>
      </c>
      <c r="F94">
        <f>IF(Tradebook_2023_2026[[#This Row],[Trade Type]]="buy",-(Tradebook_2023_2026[[#This Row],[Quantity]]*Tradebook_2023_2026[[#This Row],[Price]]),(Tradebook_2023_2026[[#This Row],[Quantity]]*Tradebook_2023_2026[[#This Row],[Price]]))</f>
        <v>-3410</v>
      </c>
    </row>
    <row r="95" spans="1:6">
      <c r="A95" t="s">
        <v>31</v>
      </c>
      <c r="B95" s="1">
        <v>46083</v>
      </c>
      <c r="C95" t="s">
        <v>8</v>
      </c>
      <c r="D95">
        <v>4</v>
      </c>
      <c r="E95">
        <v>310</v>
      </c>
      <c r="F95">
        <f>IF(Tradebook_2023_2026[[#This Row],[Trade Type]]="buy",-(Tradebook_2023_2026[[#This Row],[Quantity]]*Tradebook_2023_2026[[#This Row],[Price]]),(Tradebook_2023_2026[[#This Row],[Quantity]]*Tradebook_2023_2026[[#This Row],[Price]]))</f>
        <v>-1240</v>
      </c>
    </row>
    <row r="96" spans="1:6">
      <c r="A96" t="s">
        <v>31</v>
      </c>
      <c r="B96" s="1">
        <v>46083</v>
      </c>
      <c r="C96" t="s">
        <v>8</v>
      </c>
      <c r="D96">
        <v>4</v>
      </c>
      <c r="E96">
        <v>310</v>
      </c>
      <c r="F96">
        <f>IF(Tradebook_2023_2026[[#This Row],[Trade Type]]="buy",-(Tradebook_2023_2026[[#This Row],[Quantity]]*Tradebook_2023_2026[[#This Row],[Price]]),(Tradebook_2023_2026[[#This Row],[Quantity]]*Tradebook_2023_2026[[#This Row],[Price]]))</f>
        <v>-1240</v>
      </c>
    </row>
    <row r="97" spans="1:6">
      <c r="A97" t="s">
        <v>31</v>
      </c>
      <c r="B97" s="1">
        <v>46083</v>
      </c>
      <c r="C97" t="s">
        <v>8</v>
      </c>
      <c r="D97">
        <v>5</v>
      </c>
      <c r="E97">
        <v>309.95</v>
      </c>
      <c r="F97">
        <f>IF(Tradebook_2023_2026[[#This Row],[Trade Type]]="buy",-(Tradebook_2023_2026[[#This Row],[Quantity]]*Tradebook_2023_2026[[#This Row],[Price]]),(Tradebook_2023_2026[[#This Row],[Quantity]]*Tradebook_2023_2026[[#This Row],[Price]]))</f>
        <v>-1549.75</v>
      </c>
    </row>
    <row r="98" spans="1:6">
      <c r="A98" t="s">
        <v>31</v>
      </c>
      <c r="B98" s="1">
        <v>46083</v>
      </c>
      <c r="C98" t="s">
        <v>8</v>
      </c>
      <c r="D98">
        <v>600</v>
      </c>
      <c r="E98">
        <v>310</v>
      </c>
      <c r="F98">
        <f>IF(Tradebook_2023_2026[[#This Row],[Trade Type]]="buy",-(Tradebook_2023_2026[[#This Row],[Quantity]]*Tradebook_2023_2026[[#This Row],[Price]]),(Tradebook_2023_2026[[#This Row],[Quantity]]*Tradebook_2023_2026[[#This Row],[Price]]))</f>
        <v>-186000</v>
      </c>
    </row>
    <row r="99" spans="1:6">
      <c r="A99" t="s">
        <v>32</v>
      </c>
      <c r="B99" s="1">
        <v>46083</v>
      </c>
      <c r="C99" t="s">
        <v>8</v>
      </c>
      <c r="D99">
        <v>104</v>
      </c>
      <c r="E99">
        <v>302</v>
      </c>
      <c r="F99">
        <f>IF(Tradebook_2023_2026[[#This Row],[Trade Type]]="buy",-(Tradebook_2023_2026[[#This Row],[Quantity]]*Tradebook_2023_2026[[#This Row],[Price]]),(Tradebook_2023_2026[[#This Row],[Quantity]]*Tradebook_2023_2026[[#This Row],[Price]]))</f>
        <v>-31408</v>
      </c>
    </row>
    <row r="100" spans="1:6">
      <c r="A100" t="s">
        <v>32</v>
      </c>
      <c r="B100" s="1">
        <v>46083</v>
      </c>
      <c r="C100" t="s">
        <v>8</v>
      </c>
      <c r="D100">
        <v>107</v>
      </c>
      <c r="E100">
        <v>302.05</v>
      </c>
      <c r="F100">
        <f>IF(Tradebook_2023_2026[[#This Row],[Trade Type]]="buy",-(Tradebook_2023_2026[[#This Row],[Quantity]]*Tradebook_2023_2026[[#This Row],[Price]]),(Tradebook_2023_2026[[#This Row],[Quantity]]*Tradebook_2023_2026[[#This Row],[Price]]))</f>
        <v>-32319.350000000002</v>
      </c>
    </row>
    <row r="101" spans="1:6">
      <c r="A101" t="s">
        <v>32</v>
      </c>
      <c r="B101" s="1">
        <v>46083</v>
      </c>
      <c r="C101" t="s">
        <v>8</v>
      </c>
      <c r="D101">
        <v>11</v>
      </c>
      <c r="E101">
        <v>302.2</v>
      </c>
      <c r="F101">
        <f>IF(Tradebook_2023_2026[[#This Row],[Trade Type]]="buy",-(Tradebook_2023_2026[[#This Row],[Quantity]]*Tradebook_2023_2026[[#This Row],[Price]]),(Tradebook_2023_2026[[#This Row],[Quantity]]*Tradebook_2023_2026[[#This Row],[Price]]))</f>
        <v>-3324.2</v>
      </c>
    </row>
    <row r="102" spans="1:6">
      <c r="A102" t="s">
        <v>32</v>
      </c>
      <c r="B102" s="1">
        <v>46083</v>
      </c>
      <c r="C102" t="s">
        <v>8</v>
      </c>
      <c r="D102">
        <v>11</v>
      </c>
      <c r="E102">
        <v>302.2</v>
      </c>
      <c r="F102">
        <f>IF(Tradebook_2023_2026[[#This Row],[Trade Type]]="buy",-(Tradebook_2023_2026[[#This Row],[Quantity]]*Tradebook_2023_2026[[#This Row],[Price]]),(Tradebook_2023_2026[[#This Row],[Quantity]]*Tradebook_2023_2026[[#This Row],[Price]]))</f>
        <v>-3324.2</v>
      </c>
    </row>
    <row r="103" spans="1:6">
      <c r="A103" t="s">
        <v>32</v>
      </c>
      <c r="B103" s="1">
        <v>46083</v>
      </c>
      <c r="C103" t="s">
        <v>8</v>
      </c>
      <c r="D103">
        <v>11</v>
      </c>
      <c r="E103">
        <v>302.2</v>
      </c>
      <c r="F103">
        <f>IF(Tradebook_2023_2026[[#This Row],[Trade Type]]="buy",-(Tradebook_2023_2026[[#This Row],[Quantity]]*Tradebook_2023_2026[[#This Row],[Price]]),(Tradebook_2023_2026[[#This Row],[Quantity]]*Tradebook_2023_2026[[#This Row],[Price]]))</f>
        <v>-3324.2</v>
      </c>
    </row>
    <row r="104" spans="1:6">
      <c r="A104" t="s">
        <v>32</v>
      </c>
      <c r="B104" s="1">
        <v>46083</v>
      </c>
      <c r="C104" t="s">
        <v>8</v>
      </c>
      <c r="D104">
        <v>11</v>
      </c>
      <c r="E104">
        <v>302.2</v>
      </c>
      <c r="F104">
        <f>IF(Tradebook_2023_2026[[#This Row],[Trade Type]]="buy",-(Tradebook_2023_2026[[#This Row],[Quantity]]*Tradebook_2023_2026[[#This Row],[Price]]),(Tradebook_2023_2026[[#This Row],[Quantity]]*Tradebook_2023_2026[[#This Row],[Price]]))</f>
        <v>-3324.2</v>
      </c>
    </row>
    <row r="105" spans="1:6">
      <c r="A105" t="s">
        <v>32</v>
      </c>
      <c r="B105" s="1">
        <v>46083</v>
      </c>
      <c r="C105" t="s">
        <v>8</v>
      </c>
      <c r="D105">
        <v>11</v>
      </c>
      <c r="E105">
        <v>302.2</v>
      </c>
      <c r="F105">
        <f>IF(Tradebook_2023_2026[[#This Row],[Trade Type]]="buy",-(Tradebook_2023_2026[[#This Row],[Quantity]]*Tradebook_2023_2026[[#This Row],[Price]]),(Tradebook_2023_2026[[#This Row],[Quantity]]*Tradebook_2023_2026[[#This Row],[Price]]))</f>
        <v>-3324.2</v>
      </c>
    </row>
    <row r="106" spans="1:6">
      <c r="A106" t="s">
        <v>32</v>
      </c>
      <c r="B106" s="1">
        <v>46083</v>
      </c>
      <c r="C106" t="s">
        <v>8</v>
      </c>
      <c r="D106">
        <v>11</v>
      </c>
      <c r="E106">
        <v>302.2</v>
      </c>
      <c r="F106">
        <f>IF(Tradebook_2023_2026[[#This Row],[Trade Type]]="buy",-(Tradebook_2023_2026[[#This Row],[Quantity]]*Tradebook_2023_2026[[#This Row],[Price]]),(Tradebook_2023_2026[[#This Row],[Quantity]]*Tradebook_2023_2026[[#This Row],[Price]]))</f>
        <v>-3324.2</v>
      </c>
    </row>
    <row r="107" spans="1:6">
      <c r="A107" t="s">
        <v>32</v>
      </c>
      <c r="B107" s="1">
        <v>46083</v>
      </c>
      <c r="C107" t="s">
        <v>8</v>
      </c>
      <c r="D107">
        <v>1</v>
      </c>
      <c r="E107">
        <v>301.85000000000002</v>
      </c>
      <c r="F107">
        <f>IF(Tradebook_2023_2026[[#This Row],[Trade Type]]="buy",-(Tradebook_2023_2026[[#This Row],[Quantity]]*Tradebook_2023_2026[[#This Row],[Price]]),(Tradebook_2023_2026[[#This Row],[Quantity]]*Tradebook_2023_2026[[#This Row],[Price]]))</f>
        <v>-301.85000000000002</v>
      </c>
    </row>
    <row r="108" spans="1:6">
      <c r="A108" t="s">
        <v>32</v>
      </c>
      <c r="B108" s="1">
        <v>46083</v>
      </c>
      <c r="C108" t="s">
        <v>8</v>
      </c>
      <c r="D108">
        <v>13</v>
      </c>
      <c r="E108">
        <v>301.8</v>
      </c>
      <c r="F108">
        <f>IF(Tradebook_2023_2026[[#This Row],[Trade Type]]="buy",-(Tradebook_2023_2026[[#This Row],[Quantity]]*Tradebook_2023_2026[[#This Row],[Price]]),(Tradebook_2023_2026[[#This Row],[Quantity]]*Tradebook_2023_2026[[#This Row],[Price]]))</f>
        <v>-3923.4</v>
      </c>
    </row>
    <row r="109" spans="1:6">
      <c r="A109" t="s">
        <v>32</v>
      </c>
      <c r="B109" s="1">
        <v>46083</v>
      </c>
      <c r="C109" t="s">
        <v>8</v>
      </c>
      <c r="D109">
        <v>135</v>
      </c>
      <c r="E109">
        <v>301.85000000000002</v>
      </c>
      <c r="F109">
        <f>IF(Tradebook_2023_2026[[#This Row],[Trade Type]]="buy",-(Tradebook_2023_2026[[#This Row],[Quantity]]*Tradebook_2023_2026[[#This Row],[Price]]),(Tradebook_2023_2026[[#This Row],[Quantity]]*Tradebook_2023_2026[[#This Row],[Price]]))</f>
        <v>-40749.75</v>
      </c>
    </row>
    <row r="110" spans="1:6">
      <c r="A110" t="s">
        <v>32</v>
      </c>
      <c r="B110" s="1">
        <v>46083</v>
      </c>
      <c r="C110" t="s">
        <v>8</v>
      </c>
      <c r="D110">
        <v>2</v>
      </c>
      <c r="E110">
        <v>302.05</v>
      </c>
      <c r="F110">
        <f>IF(Tradebook_2023_2026[[#This Row],[Trade Type]]="buy",-(Tradebook_2023_2026[[#This Row],[Quantity]]*Tradebook_2023_2026[[#This Row],[Price]]),(Tradebook_2023_2026[[#This Row],[Quantity]]*Tradebook_2023_2026[[#This Row],[Price]]))</f>
        <v>-604.1</v>
      </c>
    </row>
    <row r="111" spans="1:6">
      <c r="A111" t="s">
        <v>32</v>
      </c>
      <c r="B111" s="1">
        <v>46083</v>
      </c>
      <c r="C111" t="s">
        <v>8</v>
      </c>
      <c r="D111">
        <v>2</v>
      </c>
      <c r="E111">
        <v>302.05</v>
      </c>
      <c r="F111">
        <f>IF(Tradebook_2023_2026[[#This Row],[Trade Type]]="buy",-(Tradebook_2023_2026[[#This Row],[Quantity]]*Tradebook_2023_2026[[#This Row],[Price]]),(Tradebook_2023_2026[[#This Row],[Quantity]]*Tradebook_2023_2026[[#This Row],[Price]]))</f>
        <v>-604.1</v>
      </c>
    </row>
    <row r="112" spans="1:6">
      <c r="A112" t="s">
        <v>32</v>
      </c>
      <c r="B112" s="1">
        <v>46083</v>
      </c>
      <c r="C112" t="s">
        <v>8</v>
      </c>
      <c r="D112">
        <v>2</v>
      </c>
      <c r="E112">
        <v>302.05</v>
      </c>
      <c r="F112">
        <f>IF(Tradebook_2023_2026[[#This Row],[Trade Type]]="buy",-(Tradebook_2023_2026[[#This Row],[Quantity]]*Tradebook_2023_2026[[#This Row],[Price]]),(Tradebook_2023_2026[[#This Row],[Quantity]]*Tradebook_2023_2026[[#This Row],[Price]]))</f>
        <v>-604.1</v>
      </c>
    </row>
    <row r="113" spans="1:6">
      <c r="A113" t="s">
        <v>32</v>
      </c>
      <c r="B113" s="1">
        <v>46083</v>
      </c>
      <c r="C113" t="s">
        <v>8</v>
      </c>
      <c r="D113">
        <v>2</v>
      </c>
      <c r="E113">
        <v>302.05</v>
      </c>
      <c r="F113">
        <f>IF(Tradebook_2023_2026[[#This Row],[Trade Type]]="buy",-(Tradebook_2023_2026[[#This Row],[Quantity]]*Tradebook_2023_2026[[#This Row],[Price]]),(Tradebook_2023_2026[[#This Row],[Quantity]]*Tradebook_2023_2026[[#This Row],[Price]]))</f>
        <v>-604.1</v>
      </c>
    </row>
    <row r="114" spans="1:6">
      <c r="A114" t="s">
        <v>32</v>
      </c>
      <c r="B114" s="1">
        <v>46083</v>
      </c>
      <c r="C114" t="s">
        <v>8</v>
      </c>
      <c r="D114">
        <v>2</v>
      </c>
      <c r="E114">
        <v>302.05</v>
      </c>
      <c r="F114">
        <f>IF(Tradebook_2023_2026[[#This Row],[Trade Type]]="buy",-(Tradebook_2023_2026[[#This Row],[Quantity]]*Tradebook_2023_2026[[#This Row],[Price]]),(Tradebook_2023_2026[[#This Row],[Quantity]]*Tradebook_2023_2026[[#This Row],[Price]]))</f>
        <v>-604.1</v>
      </c>
    </row>
    <row r="115" spans="1:6">
      <c r="A115" t="s">
        <v>32</v>
      </c>
      <c r="B115" s="1">
        <v>46083</v>
      </c>
      <c r="C115" t="s">
        <v>8</v>
      </c>
      <c r="D115">
        <v>2</v>
      </c>
      <c r="E115">
        <v>302.05</v>
      </c>
      <c r="F115">
        <f>IF(Tradebook_2023_2026[[#This Row],[Trade Type]]="buy",-(Tradebook_2023_2026[[#This Row],[Quantity]]*Tradebook_2023_2026[[#This Row],[Price]]),(Tradebook_2023_2026[[#This Row],[Quantity]]*Tradebook_2023_2026[[#This Row],[Price]]))</f>
        <v>-604.1</v>
      </c>
    </row>
    <row r="116" spans="1:6">
      <c r="A116" t="s">
        <v>32</v>
      </c>
      <c r="B116" s="1">
        <v>46083</v>
      </c>
      <c r="C116" t="s">
        <v>8</v>
      </c>
      <c r="D116">
        <v>2</v>
      </c>
      <c r="E116">
        <v>302.05</v>
      </c>
      <c r="F116">
        <f>IF(Tradebook_2023_2026[[#This Row],[Trade Type]]="buy",-(Tradebook_2023_2026[[#This Row],[Quantity]]*Tradebook_2023_2026[[#This Row],[Price]]),(Tradebook_2023_2026[[#This Row],[Quantity]]*Tradebook_2023_2026[[#This Row],[Price]]))</f>
        <v>-604.1</v>
      </c>
    </row>
    <row r="117" spans="1:6">
      <c r="A117" t="s">
        <v>32</v>
      </c>
      <c r="B117" s="1">
        <v>46083</v>
      </c>
      <c r="C117" t="s">
        <v>8</v>
      </c>
      <c r="D117">
        <v>2</v>
      </c>
      <c r="E117">
        <v>302.05</v>
      </c>
      <c r="F117">
        <f>IF(Tradebook_2023_2026[[#This Row],[Trade Type]]="buy",-(Tradebook_2023_2026[[#This Row],[Quantity]]*Tradebook_2023_2026[[#This Row],[Price]]),(Tradebook_2023_2026[[#This Row],[Quantity]]*Tradebook_2023_2026[[#This Row],[Price]]))</f>
        <v>-604.1</v>
      </c>
    </row>
    <row r="118" spans="1:6">
      <c r="A118" t="s">
        <v>32</v>
      </c>
      <c r="B118" s="1">
        <v>46083</v>
      </c>
      <c r="C118" t="s">
        <v>8</v>
      </c>
      <c r="D118">
        <v>222</v>
      </c>
      <c r="E118">
        <v>302.14999999999998</v>
      </c>
      <c r="F118">
        <f>IF(Tradebook_2023_2026[[#This Row],[Trade Type]]="buy",-(Tradebook_2023_2026[[#This Row],[Quantity]]*Tradebook_2023_2026[[#This Row],[Price]]),(Tradebook_2023_2026[[#This Row],[Quantity]]*Tradebook_2023_2026[[#This Row],[Price]]))</f>
        <v>-67077.299999999988</v>
      </c>
    </row>
    <row r="119" spans="1:6">
      <c r="A119" t="s">
        <v>32</v>
      </c>
      <c r="B119" s="1">
        <v>46083</v>
      </c>
      <c r="C119" t="s">
        <v>8</v>
      </c>
      <c r="D119">
        <v>23</v>
      </c>
      <c r="E119">
        <v>302.2</v>
      </c>
      <c r="F119">
        <f>IF(Tradebook_2023_2026[[#This Row],[Trade Type]]="buy",-(Tradebook_2023_2026[[#This Row],[Quantity]]*Tradebook_2023_2026[[#This Row],[Price]]),(Tradebook_2023_2026[[#This Row],[Quantity]]*Tradebook_2023_2026[[#This Row],[Price]]))</f>
        <v>-6950.5999999999995</v>
      </c>
    </row>
    <row r="120" spans="1:6">
      <c r="A120" t="s">
        <v>32</v>
      </c>
      <c r="B120" s="1">
        <v>46083</v>
      </c>
      <c r="C120" t="s">
        <v>8</v>
      </c>
      <c r="D120">
        <v>23</v>
      </c>
      <c r="E120">
        <v>302.2</v>
      </c>
      <c r="F120">
        <f>IF(Tradebook_2023_2026[[#This Row],[Trade Type]]="buy",-(Tradebook_2023_2026[[#This Row],[Quantity]]*Tradebook_2023_2026[[#This Row],[Price]]),(Tradebook_2023_2026[[#This Row],[Quantity]]*Tradebook_2023_2026[[#This Row],[Price]]))</f>
        <v>-6950.5999999999995</v>
      </c>
    </row>
    <row r="121" spans="1:6">
      <c r="A121" t="s">
        <v>32</v>
      </c>
      <c r="B121" s="1">
        <v>46083</v>
      </c>
      <c r="C121" t="s">
        <v>8</v>
      </c>
      <c r="D121">
        <v>23</v>
      </c>
      <c r="E121">
        <v>302.2</v>
      </c>
      <c r="F121">
        <f>IF(Tradebook_2023_2026[[#This Row],[Trade Type]]="buy",-(Tradebook_2023_2026[[#This Row],[Quantity]]*Tradebook_2023_2026[[#This Row],[Price]]),(Tradebook_2023_2026[[#This Row],[Quantity]]*Tradebook_2023_2026[[#This Row],[Price]]))</f>
        <v>-6950.5999999999995</v>
      </c>
    </row>
    <row r="122" spans="1:6">
      <c r="A122" t="s">
        <v>32</v>
      </c>
      <c r="B122" s="1">
        <v>46083</v>
      </c>
      <c r="C122" t="s">
        <v>8</v>
      </c>
      <c r="D122">
        <v>23</v>
      </c>
      <c r="E122">
        <v>302.2</v>
      </c>
      <c r="F122">
        <f>IF(Tradebook_2023_2026[[#This Row],[Trade Type]]="buy",-(Tradebook_2023_2026[[#This Row],[Quantity]]*Tradebook_2023_2026[[#This Row],[Price]]),(Tradebook_2023_2026[[#This Row],[Quantity]]*Tradebook_2023_2026[[#This Row],[Price]]))</f>
        <v>-6950.5999999999995</v>
      </c>
    </row>
    <row r="123" spans="1:6">
      <c r="A123" t="s">
        <v>32</v>
      </c>
      <c r="B123" s="1">
        <v>46083</v>
      </c>
      <c r="C123" t="s">
        <v>8</v>
      </c>
      <c r="D123">
        <v>23</v>
      </c>
      <c r="E123">
        <v>302.2</v>
      </c>
      <c r="F123">
        <f>IF(Tradebook_2023_2026[[#This Row],[Trade Type]]="buy",-(Tradebook_2023_2026[[#This Row],[Quantity]]*Tradebook_2023_2026[[#This Row],[Price]]),(Tradebook_2023_2026[[#This Row],[Quantity]]*Tradebook_2023_2026[[#This Row],[Price]]))</f>
        <v>-6950.5999999999995</v>
      </c>
    </row>
    <row r="124" spans="1:6">
      <c r="A124" t="s">
        <v>32</v>
      </c>
      <c r="B124" s="1">
        <v>46083</v>
      </c>
      <c r="C124" t="s">
        <v>8</v>
      </c>
      <c r="D124">
        <v>23</v>
      </c>
      <c r="E124">
        <v>302.2</v>
      </c>
      <c r="F124">
        <f>IF(Tradebook_2023_2026[[#This Row],[Trade Type]]="buy",-(Tradebook_2023_2026[[#This Row],[Quantity]]*Tradebook_2023_2026[[#This Row],[Price]]),(Tradebook_2023_2026[[#This Row],[Quantity]]*Tradebook_2023_2026[[#This Row],[Price]]))</f>
        <v>-6950.5999999999995</v>
      </c>
    </row>
    <row r="125" spans="1:6">
      <c r="A125" t="s">
        <v>32</v>
      </c>
      <c r="B125" s="1">
        <v>46083</v>
      </c>
      <c r="C125" t="s">
        <v>8</v>
      </c>
      <c r="D125">
        <v>373</v>
      </c>
      <c r="E125">
        <v>301.89999999999998</v>
      </c>
      <c r="F125">
        <f>IF(Tradebook_2023_2026[[#This Row],[Trade Type]]="buy",-(Tradebook_2023_2026[[#This Row],[Quantity]]*Tradebook_2023_2026[[#This Row],[Price]]),(Tradebook_2023_2026[[#This Row],[Quantity]]*Tradebook_2023_2026[[#This Row],[Price]]))</f>
        <v>-112608.7</v>
      </c>
    </row>
    <row r="126" spans="1:6">
      <c r="A126" t="s">
        <v>32</v>
      </c>
      <c r="B126" s="1">
        <v>46083</v>
      </c>
      <c r="C126" t="s">
        <v>8</v>
      </c>
      <c r="D126">
        <v>38</v>
      </c>
      <c r="E126">
        <v>302.05</v>
      </c>
      <c r="F126">
        <f>IF(Tradebook_2023_2026[[#This Row],[Trade Type]]="buy",-(Tradebook_2023_2026[[#This Row],[Quantity]]*Tradebook_2023_2026[[#This Row],[Price]]),(Tradebook_2023_2026[[#This Row],[Quantity]]*Tradebook_2023_2026[[#This Row],[Price]]))</f>
        <v>-11477.9</v>
      </c>
    </row>
    <row r="127" spans="1:6">
      <c r="A127" t="s">
        <v>32</v>
      </c>
      <c r="B127" s="1">
        <v>46083</v>
      </c>
      <c r="C127" t="s">
        <v>8</v>
      </c>
      <c r="D127">
        <v>38</v>
      </c>
      <c r="E127">
        <v>302.05</v>
      </c>
      <c r="F127">
        <f>IF(Tradebook_2023_2026[[#This Row],[Trade Type]]="buy",-(Tradebook_2023_2026[[#This Row],[Quantity]]*Tradebook_2023_2026[[#This Row],[Price]]),(Tradebook_2023_2026[[#This Row],[Quantity]]*Tradebook_2023_2026[[#This Row],[Price]]))</f>
        <v>-11477.9</v>
      </c>
    </row>
    <row r="128" spans="1:6">
      <c r="A128" t="s">
        <v>32</v>
      </c>
      <c r="B128" s="1">
        <v>46083</v>
      </c>
      <c r="C128" t="s">
        <v>8</v>
      </c>
      <c r="D128">
        <v>38</v>
      </c>
      <c r="E128">
        <v>302.05</v>
      </c>
      <c r="F128">
        <f>IF(Tradebook_2023_2026[[#This Row],[Trade Type]]="buy",-(Tradebook_2023_2026[[#This Row],[Quantity]]*Tradebook_2023_2026[[#This Row],[Price]]),(Tradebook_2023_2026[[#This Row],[Quantity]]*Tradebook_2023_2026[[#This Row],[Price]]))</f>
        <v>-11477.9</v>
      </c>
    </row>
    <row r="129" spans="1:6">
      <c r="A129" t="s">
        <v>32</v>
      </c>
      <c r="B129" s="1">
        <v>46083</v>
      </c>
      <c r="C129" t="s">
        <v>8</v>
      </c>
      <c r="D129">
        <v>38</v>
      </c>
      <c r="E129">
        <v>302.05</v>
      </c>
      <c r="F129">
        <f>IF(Tradebook_2023_2026[[#This Row],[Trade Type]]="buy",-(Tradebook_2023_2026[[#This Row],[Quantity]]*Tradebook_2023_2026[[#This Row],[Price]]),(Tradebook_2023_2026[[#This Row],[Quantity]]*Tradebook_2023_2026[[#This Row],[Price]]))</f>
        <v>-11477.9</v>
      </c>
    </row>
    <row r="130" spans="1:6">
      <c r="A130" t="s">
        <v>32</v>
      </c>
      <c r="B130" s="1">
        <v>46083</v>
      </c>
      <c r="C130" t="s">
        <v>8</v>
      </c>
      <c r="D130">
        <v>38</v>
      </c>
      <c r="E130">
        <v>302.05</v>
      </c>
      <c r="F130">
        <f>IF(Tradebook_2023_2026[[#This Row],[Trade Type]]="buy",-(Tradebook_2023_2026[[#This Row],[Quantity]]*Tradebook_2023_2026[[#This Row],[Price]]),(Tradebook_2023_2026[[#This Row],[Quantity]]*Tradebook_2023_2026[[#This Row],[Price]]))</f>
        <v>-11477.9</v>
      </c>
    </row>
    <row r="131" spans="1:6">
      <c r="A131" t="s">
        <v>32</v>
      </c>
      <c r="B131" s="1">
        <v>46083</v>
      </c>
      <c r="C131" t="s">
        <v>8</v>
      </c>
      <c r="D131">
        <v>38</v>
      </c>
      <c r="E131">
        <v>302.05</v>
      </c>
      <c r="F131">
        <f>IF(Tradebook_2023_2026[[#This Row],[Trade Type]]="buy",-(Tradebook_2023_2026[[#This Row],[Quantity]]*Tradebook_2023_2026[[#This Row],[Price]]),(Tradebook_2023_2026[[#This Row],[Quantity]]*Tradebook_2023_2026[[#This Row],[Price]]))</f>
        <v>-11477.9</v>
      </c>
    </row>
    <row r="132" spans="1:6">
      <c r="A132" t="s">
        <v>32</v>
      </c>
      <c r="B132" s="1">
        <v>46083</v>
      </c>
      <c r="C132" t="s">
        <v>8</v>
      </c>
      <c r="D132">
        <v>38</v>
      </c>
      <c r="E132">
        <v>302.05</v>
      </c>
      <c r="F132">
        <f>IF(Tradebook_2023_2026[[#This Row],[Trade Type]]="buy",-(Tradebook_2023_2026[[#This Row],[Quantity]]*Tradebook_2023_2026[[#This Row],[Price]]),(Tradebook_2023_2026[[#This Row],[Quantity]]*Tradebook_2023_2026[[#This Row],[Price]]))</f>
        <v>-11477.9</v>
      </c>
    </row>
    <row r="133" spans="1:6">
      <c r="A133" t="s">
        <v>32</v>
      </c>
      <c r="B133" s="1">
        <v>46083</v>
      </c>
      <c r="C133" t="s">
        <v>8</v>
      </c>
      <c r="D133">
        <v>5</v>
      </c>
      <c r="E133">
        <v>301.95</v>
      </c>
      <c r="F133">
        <f>IF(Tradebook_2023_2026[[#This Row],[Trade Type]]="buy",-(Tradebook_2023_2026[[#This Row],[Quantity]]*Tradebook_2023_2026[[#This Row],[Price]]),(Tradebook_2023_2026[[#This Row],[Quantity]]*Tradebook_2023_2026[[#This Row],[Price]]))</f>
        <v>-1509.75</v>
      </c>
    </row>
    <row r="134" spans="1:6">
      <c r="A134" t="s">
        <v>32</v>
      </c>
      <c r="B134" s="1">
        <v>46083</v>
      </c>
      <c r="C134" t="s">
        <v>8</v>
      </c>
      <c r="D134">
        <v>9</v>
      </c>
      <c r="E134">
        <v>302.2</v>
      </c>
      <c r="F134">
        <f>IF(Tradebook_2023_2026[[#This Row],[Trade Type]]="buy",-(Tradebook_2023_2026[[#This Row],[Quantity]]*Tradebook_2023_2026[[#This Row],[Price]]),(Tradebook_2023_2026[[#This Row],[Quantity]]*Tradebook_2023_2026[[#This Row],[Price]]))</f>
        <v>-2719.7999999999997</v>
      </c>
    </row>
    <row r="135" spans="1:6">
      <c r="A135" t="s">
        <v>33</v>
      </c>
      <c r="B135" s="1">
        <v>46083</v>
      </c>
      <c r="C135" t="s">
        <v>8</v>
      </c>
      <c r="D135">
        <v>3139</v>
      </c>
      <c r="E135">
        <v>8</v>
      </c>
      <c r="F135">
        <f>IF(Tradebook_2023_2026[[#This Row],[Trade Type]]="buy",-(Tradebook_2023_2026[[#This Row],[Quantity]]*Tradebook_2023_2026[[#This Row],[Price]]),(Tradebook_2023_2026[[#This Row],[Quantity]]*Tradebook_2023_2026[[#This Row],[Price]]))</f>
        <v>-25112</v>
      </c>
    </row>
    <row r="136" spans="1:6">
      <c r="A136" t="s">
        <v>33</v>
      </c>
      <c r="B136" s="1">
        <v>46083</v>
      </c>
      <c r="C136" t="s">
        <v>8</v>
      </c>
      <c r="D136">
        <v>3195</v>
      </c>
      <c r="E136">
        <v>7.99</v>
      </c>
      <c r="F136">
        <f>IF(Tradebook_2023_2026[[#This Row],[Trade Type]]="buy",-(Tradebook_2023_2026[[#This Row],[Quantity]]*Tradebook_2023_2026[[#This Row],[Price]]),(Tradebook_2023_2026[[#This Row],[Quantity]]*Tradebook_2023_2026[[#This Row],[Price]]))</f>
        <v>-25528.05</v>
      </c>
    </row>
    <row r="137" spans="1:6">
      <c r="A137" t="s">
        <v>33</v>
      </c>
      <c r="B137" s="1">
        <v>46083</v>
      </c>
      <c r="C137" t="s">
        <v>8</v>
      </c>
      <c r="D137">
        <v>6166</v>
      </c>
      <c r="E137">
        <v>7.99</v>
      </c>
      <c r="F137">
        <f>IF(Tradebook_2023_2026[[#This Row],[Trade Type]]="buy",-(Tradebook_2023_2026[[#This Row],[Quantity]]*Tradebook_2023_2026[[#This Row],[Price]]),(Tradebook_2023_2026[[#This Row],[Quantity]]*Tradebook_2023_2026[[#This Row],[Price]]))</f>
        <v>-49266.340000000004</v>
      </c>
    </row>
    <row r="138" spans="1:6">
      <c r="A138" t="s">
        <v>34</v>
      </c>
      <c r="B138" s="1">
        <v>46083</v>
      </c>
      <c r="C138" t="s">
        <v>8</v>
      </c>
      <c r="D138">
        <v>20</v>
      </c>
      <c r="E138">
        <v>478.9</v>
      </c>
      <c r="F138">
        <f>IF(Tradebook_2023_2026[[#This Row],[Trade Type]]="buy",-(Tradebook_2023_2026[[#This Row],[Quantity]]*Tradebook_2023_2026[[#This Row],[Price]]),(Tradebook_2023_2026[[#This Row],[Quantity]]*Tradebook_2023_2026[[#This Row],[Price]]))</f>
        <v>-9578</v>
      </c>
    </row>
    <row r="139" spans="1:6">
      <c r="A139" t="s">
        <v>34</v>
      </c>
      <c r="B139" s="1">
        <v>46083</v>
      </c>
      <c r="C139" t="s">
        <v>8</v>
      </c>
      <c r="D139">
        <v>21</v>
      </c>
      <c r="E139">
        <v>478.9</v>
      </c>
      <c r="F139">
        <f>IF(Tradebook_2023_2026[[#This Row],[Trade Type]]="buy",-(Tradebook_2023_2026[[#This Row],[Quantity]]*Tradebook_2023_2026[[#This Row],[Price]]),(Tradebook_2023_2026[[#This Row],[Quantity]]*Tradebook_2023_2026[[#This Row],[Price]]))</f>
        <v>-10056.9</v>
      </c>
    </row>
    <row r="140" spans="1:6">
      <c r="A140" t="s">
        <v>34</v>
      </c>
      <c r="B140" s="1">
        <v>46083</v>
      </c>
      <c r="C140" t="s">
        <v>8</v>
      </c>
      <c r="D140">
        <v>2</v>
      </c>
      <c r="E140">
        <v>478.9</v>
      </c>
      <c r="F140">
        <f>IF(Tradebook_2023_2026[[#This Row],[Trade Type]]="buy",-(Tradebook_2023_2026[[#This Row],[Quantity]]*Tradebook_2023_2026[[#This Row],[Price]]),(Tradebook_2023_2026[[#This Row],[Quantity]]*Tradebook_2023_2026[[#This Row],[Price]]))</f>
        <v>-957.8</v>
      </c>
    </row>
    <row r="141" spans="1:6">
      <c r="A141" t="s">
        <v>34</v>
      </c>
      <c r="B141" s="1">
        <v>46083</v>
      </c>
      <c r="C141" t="s">
        <v>8</v>
      </c>
      <c r="D141">
        <v>2</v>
      </c>
      <c r="E141">
        <v>478.9</v>
      </c>
      <c r="F141">
        <f>IF(Tradebook_2023_2026[[#This Row],[Trade Type]]="buy",-(Tradebook_2023_2026[[#This Row],[Quantity]]*Tradebook_2023_2026[[#This Row],[Price]]),(Tradebook_2023_2026[[#This Row],[Quantity]]*Tradebook_2023_2026[[#This Row],[Price]]))</f>
        <v>-957.8</v>
      </c>
    </row>
    <row r="142" spans="1:6">
      <c r="A142" t="s">
        <v>34</v>
      </c>
      <c r="B142" s="1">
        <v>46083</v>
      </c>
      <c r="C142" t="s">
        <v>8</v>
      </c>
      <c r="D142">
        <v>2</v>
      </c>
      <c r="E142">
        <v>478.9</v>
      </c>
      <c r="F142">
        <f>IF(Tradebook_2023_2026[[#This Row],[Trade Type]]="buy",-(Tradebook_2023_2026[[#This Row],[Quantity]]*Tradebook_2023_2026[[#This Row],[Price]]),(Tradebook_2023_2026[[#This Row],[Quantity]]*Tradebook_2023_2026[[#This Row],[Price]]))</f>
        <v>-957.8</v>
      </c>
    </row>
    <row r="143" spans="1:6">
      <c r="A143" t="s">
        <v>34</v>
      </c>
      <c r="B143" s="1">
        <v>46083</v>
      </c>
      <c r="C143" t="s">
        <v>8</v>
      </c>
      <c r="D143">
        <v>2</v>
      </c>
      <c r="E143">
        <v>478.9</v>
      </c>
      <c r="F143">
        <f>IF(Tradebook_2023_2026[[#This Row],[Trade Type]]="buy",-(Tradebook_2023_2026[[#This Row],[Quantity]]*Tradebook_2023_2026[[#This Row],[Price]]),(Tradebook_2023_2026[[#This Row],[Quantity]]*Tradebook_2023_2026[[#This Row],[Price]]))</f>
        <v>-957.8</v>
      </c>
    </row>
    <row r="144" spans="1:6">
      <c r="A144" t="s">
        <v>34</v>
      </c>
      <c r="B144" s="1">
        <v>46083</v>
      </c>
      <c r="C144" t="s">
        <v>8</v>
      </c>
      <c r="D144">
        <v>24</v>
      </c>
      <c r="E144">
        <v>478.9</v>
      </c>
      <c r="F144">
        <f>IF(Tradebook_2023_2026[[#This Row],[Trade Type]]="buy",-(Tradebook_2023_2026[[#This Row],[Quantity]]*Tradebook_2023_2026[[#This Row],[Price]]),(Tradebook_2023_2026[[#This Row],[Quantity]]*Tradebook_2023_2026[[#This Row],[Price]]))</f>
        <v>-11493.599999999999</v>
      </c>
    </row>
    <row r="145" spans="1:6">
      <c r="A145" t="s">
        <v>34</v>
      </c>
      <c r="B145" s="1">
        <v>46083</v>
      </c>
      <c r="C145" t="s">
        <v>8</v>
      </c>
      <c r="D145">
        <v>24</v>
      </c>
      <c r="E145">
        <v>478.9</v>
      </c>
      <c r="F145">
        <f>IF(Tradebook_2023_2026[[#This Row],[Trade Type]]="buy",-(Tradebook_2023_2026[[#This Row],[Quantity]]*Tradebook_2023_2026[[#This Row],[Price]]),(Tradebook_2023_2026[[#This Row],[Quantity]]*Tradebook_2023_2026[[#This Row],[Price]]))</f>
        <v>-11493.599999999999</v>
      </c>
    </row>
    <row r="146" spans="1:6">
      <c r="A146" t="s">
        <v>34</v>
      </c>
      <c r="B146" s="1">
        <v>46083</v>
      </c>
      <c r="C146" t="s">
        <v>8</v>
      </c>
      <c r="D146">
        <v>24</v>
      </c>
      <c r="E146">
        <v>478.9</v>
      </c>
      <c r="F146">
        <f>IF(Tradebook_2023_2026[[#This Row],[Trade Type]]="buy",-(Tradebook_2023_2026[[#This Row],[Quantity]]*Tradebook_2023_2026[[#This Row],[Price]]),(Tradebook_2023_2026[[#This Row],[Quantity]]*Tradebook_2023_2026[[#This Row],[Price]]))</f>
        <v>-11493.599999999999</v>
      </c>
    </row>
    <row r="147" spans="1:6">
      <c r="A147" t="s">
        <v>34</v>
      </c>
      <c r="B147" s="1">
        <v>46083</v>
      </c>
      <c r="C147" t="s">
        <v>8</v>
      </c>
      <c r="D147">
        <v>24</v>
      </c>
      <c r="E147">
        <v>478.9</v>
      </c>
      <c r="F147">
        <f>IF(Tradebook_2023_2026[[#This Row],[Trade Type]]="buy",-(Tradebook_2023_2026[[#This Row],[Quantity]]*Tradebook_2023_2026[[#This Row],[Price]]),(Tradebook_2023_2026[[#This Row],[Quantity]]*Tradebook_2023_2026[[#This Row],[Price]]))</f>
        <v>-11493.599999999999</v>
      </c>
    </row>
    <row r="148" spans="1:6">
      <c r="A148" t="s">
        <v>34</v>
      </c>
      <c r="B148" s="1">
        <v>46083</v>
      </c>
      <c r="C148" t="s">
        <v>8</v>
      </c>
      <c r="D148">
        <v>26</v>
      </c>
      <c r="E148">
        <v>478.85</v>
      </c>
      <c r="F148">
        <f>IF(Tradebook_2023_2026[[#This Row],[Trade Type]]="buy",-(Tradebook_2023_2026[[#This Row],[Quantity]]*Tradebook_2023_2026[[#This Row],[Price]]),(Tradebook_2023_2026[[#This Row],[Quantity]]*Tradebook_2023_2026[[#This Row],[Price]]))</f>
        <v>-12450.1</v>
      </c>
    </row>
    <row r="149" spans="1:6">
      <c r="A149" t="s">
        <v>34</v>
      </c>
      <c r="B149" s="1">
        <v>46083</v>
      </c>
      <c r="C149" t="s">
        <v>8</v>
      </c>
      <c r="D149">
        <v>4</v>
      </c>
      <c r="E149">
        <v>478.8</v>
      </c>
      <c r="F149">
        <f>IF(Tradebook_2023_2026[[#This Row],[Trade Type]]="buy",-(Tradebook_2023_2026[[#This Row],[Quantity]]*Tradebook_2023_2026[[#This Row],[Price]]),(Tradebook_2023_2026[[#This Row],[Quantity]]*Tradebook_2023_2026[[#This Row],[Price]]))</f>
        <v>-1915.2</v>
      </c>
    </row>
    <row r="150" spans="1:6">
      <c r="A150" t="s">
        <v>34</v>
      </c>
      <c r="B150" s="1">
        <v>46083</v>
      </c>
      <c r="C150" t="s">
        <v>8</v>
      </c>
      <c r="D150">
        <v>66</v>
      </c>
      <c r="E150">
        <v>478.85</v>
      </c>
      <c r="F150">
        <f>IF(Tradebook_2023_2026[[#This Row],[Trade Type]]="buy",-(Tradebook_2023_2026[[#This Row],[Quantity]]*Tradebook_2023_2026[[#This Row],[Price]]),(Tradebook_2023_2026[[#This Row],[Quantity]]*Tradebook_2023_2026[[#This Row],[Price]]))</f>
        <v>-31604.100000000002</v>
      </c>
    </row>
    <row r="151" spans="1:6">
      <c r="A151" t="s">
        <v>34</v>
      </c>
      <c r="B151" s="1">
        <v>46083</v>
      </c>
      <c r="C151" t="s">
        <v>8</v>
      </c>
      <c r="D151">
        <v>66</v>
      </c>
      <c r="E151">
        <v>478.9</v>
      </c>
      <c r="F151">
        <f>IF(Tradebook_2023_2026[[#This Row],[Trade Type]]="buy",-(Tradebook_2023_2026[[#This Row],[Quantity]]*Tradebook_2023_2026[[#This Row],[Price]]),(Tradebook_2023_2026[[#This Row],[Quantity]]*Tradebook_2023_2026[[#This Row],[Price]]))</f>
        <v>-31607.399999999998</v>
      </c>
    </row>
    <row r="152" spans="1:6">
      <c r="A152" t="s">
        <v>34</v>
      </c>
      <c r="B152" s="1">
        <v>46083</v>
      </c>
      <c r="C152" t="s">
        <v>8</v>
      </c>
      <c r="D152">
        <v>93</v>
      </c>
      <c r="E152">
        <v>478.9</v>
      </c>
      <c r="F152">
        <f>IF(Tradebook_2023_2026[[#This Row],[Trade Type]]="buy",-(Tradebook_2023_2026[[#This Row],[Quantity]]*Tradebook_2023_2026[[#This Row],[Price]]),(Tradebook_2023_2026[[#This Row],[Quantity]]*Tradebook_2023_2026[[#This Row],[Price]]))</f>
        <v>-44537.7</v>
      </c>
    </row>
    <row r="153" spans="1:6">
      <c r="A153" t="s">
        <v>35</v>
      </c>
      <c r="B153" s="1">
        <v>46085</v>
      </c>
      <c r="C153" t="s">
        <v>6</v>
      </c>
      <c r="D153">
        <v>100</v>
      </c>
      <c r="E153">
        <v>746.2</v>
      </c>
      <c r="F153">
        <f>IF(Tradebook_2023_2026[[#This Row],[Trade Type]]="buy",-(Tradebook_2023_2026[[#This Row],[Quantity]]*Tradebook_2023_2026[[#This Row],[Price]]),(Tradebook_2023_2026[[#This Row],[Quantity]]*Tradebook_2023_2026[[#This Row],[Price]]))</f>
        <v>74620</v>
      </c>
    </row>
    <row r="154" spans="1:6">
      <c r="A154" t="s">
        <v>36</v>
      </c>
      <c r="B154" s="1">
        <v>46085</v>
      </c>
      <c r="C154" t="s">
        <v>8</v>
      </c>
      <c r="D154">
        <v>1541</v>
      </c>
      <c r="E154">
        <v>28.4</v>
      </c>
      <c r="F154">
        <f>IF(Tradebook_2023_2026[[#This Row],[Trade Type]]="buy",-(Tradebook_2023_2026[[#This Row],[Quantity]]*Tradebook_2023_2026[[#This Row],[Price]]),(Tradebook_2023_2026[[#This Row],[Quantity]]*Tradebook_2023_2026[[#This Row],[Price]]))</f>
        <v>-43764.399999999994</v>
      </c>
    </row>
    <row r="155" spans="1:6">
      <c r="A155" t="s">
        <v>36</v>
      </c>
      <c r="B155" s="1">
        <v>46085</v>
      </c>
      <c r="C155" t="s">
        <v>8</v>
      </c>
      <c r="D155">
        <v>459</v>
      </c>
      <c r="E155">
        <v>28.4</v>
      </c>
      <c r="F155">
        <f>IF(Tradebook_2023_2026[[#This Row],[Trade Type]]="buy",-(Tradebook_2023_2026[[#This Row],[Quantity]]*Tradebook_2023_2026[[#This Row],[Price]]),(Tradebook_2023_2026[[#This Row],[Quantity]]*Tradebook_2023_2026[[#This Row],[Price]]))</f>
        <v>-13035.599999999999</v>
      </c>
    </row>
    <row r="156" spans="1:6">
      <c r="A156" t="s">
        <v>32</v>
      </c>
      <c r="B156" s="1">
        <v>46085</v>
      </c>
      <c r="C156" t="s">
        <v>8</v>
      </c>
      <c r="D156">
        <v>1100</v>
      </c>
      <c r="E156">
        <v>282</v>
      </c>
      <c r="F156">
        <f>IF(Tradebook_2023_2026[[#This Row],[Trade Type]]="buy",-(Tradebook_2023_2026[[#This Row],[Quantity]]*Tradebook_2023_2026[[#This Row],[Price]]),(Tradebook_2023_2026[[#This Row],[Quantity]]*Tradebook_2023_2026[[#This Row],[Price]]))</f>
        <v>-310200</v>
      </c>
    </row>
    <row r="157" spans="1:6">
      <c r="A157" t="s">
        <v>32</v>
      </c>
      <c r="B157" s="1">
        <v>46085</v>
      </c>
      <c r="C157" t="s">
        <v>8</v>
      </c>
      <c r="D157">
        <v>123</v>
      </c>
      <c r="E157">
        <v>282</v>
      </c>
      <c r="F157">
        <f>IF(Tradebook_2023_2026[[#This Row],[Trade Type]]="buy",-(Tradebook_2023_2026[[#This Row],[Quantity]]*Tradebook_2023_2026[[#This Row],[Price]]),(Tradebook_2023_2026[[#This Row],[Quantity]]*Tradebook_2023_2026[[#This Row],[Price]]))</f>
        <v>-34686</v>
      </c>
    </row>
    <row r="158" spans="1:6">
      <c r="A158" t="s">
        <v>32</v>
      </c>
      <c r="B158" s="1">
        <v>46085</v>
      </c>
      <c r="C158" t="s">
        <v>8</v>
      </c>
      <c r="D158">
        <v>26</v>
      </c>
      <c r="E158">
        <v>282</v>
      </c>
      <c r="F158">
        <f>IF(Tradebook_2023_2026[[#This Row],[Trade Type]]="buy",-(Tradebook_2023_2026[[#This Row],[Quantity]]*Tradebook_2023_2026[[#This Row],[Price]]),(Tradebook_2023_2026[[#This Row],[Quantity]]*Tradebook_2023_2026[[#This Row],[Price]]))</f>
        <v>-7332</v>
      </c>
    </row>
    <row r="159" spans="1:6">
      <c r="A159" t="s">
        <v>32</v>
      </c>
      <c r="B159" s="1">
        <v>46085</v>
      </c>
      <c r="C159" t="s">
        <v>8</v>
      </c>
      <c r="D159">
        <v>30</v>
      </c>
      <c r="E159">
        <v>282</v>
      </c>
      <c r="F159">
        <f>IF(Tradebook_2023_2026[[#This Row],[Trade Type]]="buy",-(Tradebook_2023_2026[[#This Row],[Quantity]]*Tradebook_2023_2026[[#This Row],[Price]]),(Tradebook_2023_2026[[#This Row],[Quantity]]*Tradebook_2023_2026[[#This Row],[Price]]))</f>
        <v>-8460</v>
      </c>
    </row>
    <row r="160" spans="1:6">
      <c r="A160" t="s">
        <v>32</v>
      </c>
      <c r="B160" s="1">
        <v>46085</v>
      </c>
      <c r="C160" t="s">
        <v>8</v>
      </c>
      <c r="D160">
        <v>53</v>
      </c>
      <c r="E160">
        <v>282</v>
      </c>
      <c r="F160">
        <f>IF(Tradebook_2023_2026[[#This Row],[Trade Type]]="buy",-(Tradebook_2023_2026[[#This Row],[Quantity]]*Tradebook_2023_2026[[#This Row],[Price]]),(Tradebook_2023_2026[[#This Row],[Quantity]]*Tradebook_2023_2026[[#This Row],[Price]]))</f>
        <v>-14946</v>
      </c>
    </row>
    <row r="161" spans="1:6">
      <c r="A161" t="s">
        <v>32</v>
      </c>
      <c r="B161" s="1">
        <v>46085</v>
      </c>
      <c r="C161" t="s">
        <v>8</v>
      </c>
      <c r="D161">
        <v>68</v>
      </c>
      <c r="E161">
        <v>282</v>
      </c>
      <c r="F161">
        <f>IF(Tradebook_2023_2026[[#This Row],[Trade Type]]="buy",-(Tradebook_2023_2026[[#This Row],[Quantity]]*Tradebook_2023_2026[[#This Row],[Price]]),(Tradebook_2023_2026[[#This Row],[Quantity]]*Tradebook_2023_2026[[#This Row],[Price]]))</f>
        <v>-19176</v>
      </c>
    </row>
    <row r="162" spans="1:6">
      <c r="A162" t="s">
        <v>37</v>
      </c>
      <c r="B162" s="1">
        <v>46085</v>
      </c>
      <c r="C162" t="s">
        <v>8</v>
      </c>
      <c r="D162">
        <v>35</v>
      </c>
      <c r="E162">
        <v>8.1999999999999993</v>
      </c>
      <c r="F162">
        <f>IF(Tradebook_2023_2026[[#This Row],[Trade Type]]="buy",-(Tradebook_2023_2026[[#This Row],[Quantity]]*Tradebook_2023_2026[[#This Row],[Price]]),(Tradebook_2023_2026[[#This Row],[Quantity]]*Tradebook_2023_2026[[#This Row],[Price]]))</f>
        <v>-287</v>
      </c>
    </row>
    <row r="163" spans="1:6">
      <c r="A163" t="s">
        <v>38</v>
      </c>
      <c r="B163" s="1">
        <v>46087</v>
      </c>
      <c r="C163" t="s">
        <v>8</v>
      </c>
      <c r="D163">
        <v>11</v>
      </c>
      <c r="E163">
        <v>288.8</v>
      </c>
      <c r="F163">
        <f>IF(Tradebook_2023_2026[[#This Row],[Trade Type]]="buy",-(Tradebook_2023_2026[[#This Row],[Quantity]]*Tradebook_2023_2026[[#This Row],[Price]]),(Tradebook_2023_2026[[#This Row],[Quantity]]*Tradebook_2023_2026[[#This Row],[Price]]))</f>
        <v>-3176.8</v>
      </c>
    </row>
    <row r="164" spans="1:6">
      <c r="A164" t="s">
        <v>38</v>
      </c>
      <c r="B164" s="1">
        <v>46087</v>
      </c>
      <c r="C164" t="s">
        <v>8</v>
      </c>
      <c r="D164">
        <v>1</v>
      </c>
      <c r="E164">
        <v>288.95</v>
      </c>
      <c r="F164">
        <f>IF(Tradebook_2023_2026[[#This Row],[Trade Type]]="buy",-(Tradebook_2023_2026[[#This Row],[Quantity]]*Tradebook_2023_2026[[#This Row],[Price]]),(Tradebook_2023_2026[[#This Row],[Quantity]]*Tradebook_2023_2026[[#This Row],[Price]]))</f>
        <v>-288.95</v>
      </c>
    </row>
    <row r="165" spans="1:6">
      <c r="A165" t="s">
        <v>38</v>
      </c>
      <c r="B165" s="1">
        <v>46087</v>
      </c>
      <c r="C165" t="s">
        <v>8</v>
      </c>
      <c r="D165">
        <v>1</v>
      </c>
      <c r="E165">
        <v>288.95</v>
      </c>
      <c r="F165">
        <f>IF(Tradebook_2023_2026[[#This Row],[Trade Type]]="buy",-(Tradebook_2023_2026[[#This Row],[Quantity]]*Tradebook_2023_2026[[#This Row],[Price]]),(Tradebook_2023_2026[[#This Row],[Quantity]]*Tradebook_2023_2026[[#This Row],[Price]]))</f>
        <v>-288.95</v>
      </c>
    </row>
    <row r="166" spans="1:6">
      <c r="A166" t="s">
        <v>38</v>
      </c>
      <c r="B166" s="1">
        <v>46087</v>
      </c>
      <c r="C166" t="s">
        <v>8</v>
      </c>
      <c r="D166">
        <v>1</v>
      </c>
      <c r="E166">
        <v>289</v>
      </c>
      <c r="F166">
        <f>IF(Tradebook_2023_2026[[#This Row],[Trade Type]]="buy",-(Tradebook_2023_2026[[#This Row],[Quantity]]*Tradebook_2023_2026[[#This Row],[Price]]),(Tradebook_2023_2026[[#This Row],[Quantity]]*Tradebook_2023_2026[[#This Row],[Price]]))</f>
        <v>-289</v>
      </c>
    </row>
    <row r="167" spans="1:6">
      <c r="A167" t="s">
        <v>38</v>
      </c>
      <c r="B167" s="1">
        <v>46087</v>
      </c>
      <c r="C167" t="s">
        <v>8</v>
      </c>
      <c r="D167">
        <v>1</v>
      </c>
      <c r="E167">
        <v>289</v>
      </c>
      <c r="F167">
        <f>IF(Tradebook_2023_2026[[#This Row],[Trade Type]]="buy",-(Tradebook_2023_2026[[#This Row],[Quantity]]*Tradebook_2023_2026[[#This Row],[Price]]),(Tradebook_2023_2026[[#This Row],[Quantity]]*Tradebook_2023_2026[[#This Row],[Price]]))</f>
        <v>-289</v>
      </c>
    </row>
    <row r="168" spans="1:6">
      <c r="A168" t="s">
        <v>38</v>
      </c>
      <c r="B168" s="1">
        <v>46087</v>
      </c>
      <c r="C168" t="s">
        <v>8</v>
      </c>
      <c r="D168">
        <v>1</v>
      </c>
      <c r="E168">
        <v>289</v>
      </c>
      <c r="F168">
        <f>IF(Tradebook_2023_2026[[#This Row],[Trade Type]]="buy",-(Tradebook_2023_2026[[#This Row],[Quantity]]*Tradebook_2023_2026[[#This Row],[Price]]),(Tradebook_2023_2026[[#This Row],[Quantity]]*Tradebook_2023_2026[[#This Row],[Price]]))</f>
        <v>-289</v>
      </c>
    </row>
    <row r="169" spans="1:6">
      <c r="A169" t="s">
        <v>38</v>
      </c>
      <c r="B169" s="1">
        <v>46087</v>
      </c>
      <c r="C169" t="s">
        <v>8</v>
      </c>
      <c r="D169">
        <v>1</v>
      </c>
      <c r="E169">
        <v>289</v>
      </c>
      <c r="F169">
        <f>IF(Tradebook_2023_2026[[#This Row],[Trade Type]]="buy",-(Tradebook_2023_2026[[#This Row],[Quantity]]*Tradebook_2023_2026[[#This Row],[Price]]),(Tradebook_2023_2026[[#This Row],[Quantity]]*Tradebook_2023_2026[[#This Row],[Price]]))</f>
        <v>-289</v>
      </c>
    </row>
    <row r="170" spans="1:6">
      <c r="A170" t="s">
        <v>38</v>
      </c>
      <c r="B170" s="1">
        <v>46087</v>
      </c>
      <c r="C170" t="s">
        <v>8</v>
      </c>
      <c r="D170">
        <v>1</v>
      </c>
      <c r="E170">
        <v>289</v>
      </c>
      <c r="F170">
        <f>IF(Tradebook_2023_2026[[#This Row],[Trade Type]]="buy",-(Tradebook_2023_2026[[#This Row],[Quantity]]*Tradebook_2023_2026[[#This Row],[Price]]),(Tradebook_2023_2026[[#This Row],[Quantity]]*Tradebook_2023_2026[[#This Row],[Price]]))</f>
        <v>-289</v>
      </c>
    </row>
    <row r="171" spans="1:6">
      <c r="A171" t="s">
        <v>38</v>
      </c>
      <c r="B171" s="1">
        <v>46087</v>
      </c>
      <c r="C171" t="s">
        <v>8</v>
      </c>
      <c r="D171">
        <v>1</v>
      </c>
      <c r="E171">
        <v>289</v>
      </c>
      <c r="F171">
        <f>IF(Tradebook_2023_2026[[#This Row],[Trade Type]]="buy",-(Tradebook_2023_2026[[#This Row],[Quantity]]*Tradebook_2023_2026[[#This Row],[Price]]),(Tradebook_2023_2026[[#This Row],[Quantity]]*Tradebook_2023_2026[[#This Row],[Price]]))</f>
        <v>-289</v>
      </c>
    </row>
    <row r="172" spans="1:6">
      <c r="A172" t="s">
        <v>38</v>
      </c>
      <c r="B172" s="1">
        <v>46087</v>
      </c>
      <c r="C172" t="s">
        <v>8</v>
      </c>
      <c r="D172">
        <v>1</v>
      </c>
      <c r="E172">
        <v>289</v>
      </c>
      <c r="F172">
        <f>IF(Tradebook_2023_2026[[#This Row],[Trade Type]]="buy",-(Tradebook_2023_2026[[#This Row],[Quantity]]*Tradebook_2023_2026[[#This Row],[Price]]),(Tradebook_2023_2026[[#This Row],[Quantity]]*Tradebook_2023_2026[[#This Row],[Price]]))</f>
        <v>-289</v>
      </c>
    </row>
    <row r="173" spans="1:6">
      <c r="A173" t="s">
        <v>38</v>
      </c>
      <c r="B173" s="1">
        <v>46087</v>
      </c>
      <c r="C173" t="s">
        <v>8</v>
      </c>
      <c r="D173">
        <v>13</v>
      </c>
      <c r="E173">
        <v>288.8</v>
      </c>
      <c r="F173">
        <f>IF(Tradebook_2023_2026[[#This Row],[Trade Type]]="buy",-(Tradebook_2023_2026[[#This Row],[Quantity]]*Tradebook_2023_2026[[#This Row],[Price]]),(Tradebook_2023_2026[[#This Row],[Quantity]]*Tradebook_2023_2026[[#This Row],[Price]]))</f>
        <v>-3754.4</v>
      </c>
    </row>
    <row r="174" spans="1:6">
      <c r="A174" t="s">
        <v>38</v>
      </c>
      <c r="B174" s="1">
        <v>46087</v>
      </c>
      <c r="C174" t="s">
        <v>8</v>
      </c>
      <c r="D174">
        <v>14</v>
      </c>
      <c r="E174">
        <v>288.89999999999998</v>
      </c>
      <c r="F174">
        <f>IF(Tradebook_2023_2026[[#This Row],[Trade Type]]="buy",-(Tradebook_2023_2026[[#This Row],[Quantity]]*Tradebook_2023_2026[[#This Row],[Price]]),(Tradebook_2023_2026[[#This Row],[Quantity]]*Tradebook_2023_2026[[#This Row],[Price]]))</f>
        <v>-4044.5999999999995</v>
      </c>
    </row>
    <row r="175" spans="1:6">
      <c r="A175" t="s">
        <v>38</v>
      </c>
      <c r="B175" s="1">
        <v>46087</v>
      </c>
      <c r="C175" t="s">
        <v>8</v>
      </c>
      <c r="D175">
        <v>16</v>
      </c>
      <c r="E175">
        <v>289</v>
      </c>
      <c r="F175">
        <f>IF(Tradebook_2023_2026[[#This Row],[Trade Type]]="buy",-(Tradebook_2023_2026[[#This Row],[Quantity]]*Tradebook_2023_2026[[#This Row],[Price]]),(Tradebook_2023_2026[[#This Row],[Quantity]]*Tradebook_2023_2026[[#This Row],[Price]]))</f>
        <v>-4624</v>
      </c>
    </row>
    <row r="176" spans="1:6">
      <c r="A176" t="s">
        <v>38</v>
      </c>
      <c r="B176" s="1">
        <v>46087</v>
      </c>
      <c r="C176" t="s">
        <v>8</v>
      </c>
      <c r="D176">
        <v>16</v>
      </c>
      <c r="E176">
        <v>289</v>
      </c>
      <c r="F176">
        <f>IF(Tradebook_2023_2026[[#This Row],[Trade Type]]="buy",-(Tradebook_2023_2026[[#This Row],[Quantity]]*Tradebook_2023_2026[[#This Row],[Price]]),(Tradebook_2023_2026[[#This Row],[Quantity]]*Tradebook_2023_2026[[#This Row],[Price]]))</f>
        <v>-4624</v>
      </c>
    </row>
    <row r="177" spans="1:6">
      <c r="A177" t="s">
        <v>38</v>
      </c>
      <c r="B177" s="1">
        <v>46087</v>
      </c>
      <c r="C177" t="s">
        <v>8</v>
      </c>
      <c r="D177">
        <v>16</v>
      </c>
      <c r="E177">
        <v>289</v>
      </c>
      <c r="F177">
        <f>IF(Tradebook_2023_2026[[#This Row],[Trade Type]]="buy",-(Tradebook_2023_2026[[#This Row],[Quantity]]*Tradebook_2023_2026[[#This Row],[Price]]),(Tradebook_2023_2026[[#This Row],[Quantity]]*Tradebook_2023_2026[[#This Row],[Price]]))</f>
        <v>-4624</v>
      </c>
    </row>
    <row r="178" spans="1:6">
      <c r="A178" t="s">
        <v>38</v>
      </c>
      <c r="B178" s="1">
        <v>46087</v>
      </c>
      <c r="C178" t="s">
        <v>8</v>
      </c>
      <c r="D178">
        <v>16</v>
      </c>
      <c r="E178">
        <v>289</v>
      </c>
      <c r="F178">
        <f>IF(Tradebook_2023_2026[[#This Row],[Trade Type]]="buy",-(Tradebook_2023_2026[[#This Row],[Quantity]]*Tradebook_2023_2026[[#This Row],[Price]]),(Tradebook_2023_2026[[#This Row],[Quantity]]*Tradebook_2023_2026[[#This Row],[Price]]))</f>
        <v>-4624</v>
      </c>
    </row>
    <row r="179" spans="1:6">
      <c r="A179" t="s">
        <v>38</v>
      </c>
      <c r="B179" s="1">
        <v>46087</v>
      </c>
      <c r="C179" t="s">
        <v>8</v>
      </c>
      <c r="D179">
        <v>16</v>
      </c>
      <c r="E179">
        <v>289</v>
      </c>
      <c r="F179">
        <f>IF(Tradebook_2023_2026[[#This Row],[Trade Type]]="buy",-(Tradebook_2023_2026[[#This Row],[Quantity]]*Tradebook_2023_2026[[#This Row],[Price]]),(Tradebook_2023_2026[[#This Row],[Quantity]]*Tradebook_2023_2026[[#This Row],[Price]]))</f>
        <v>-4624</v>
      </c>
    </row>
    <row r="180" spans="1:6">
      <c r="A180" t="s">
        <v>38</v>
      </c>
      <c r="B180" s="1">
        <v>46087</v>
      </c>
      <c r="C180" t="s">
        <v>8</v>
      </c>
      <c r="D180">
        <v>16</v>
      </c>
      <c r="E180">
        <v>289</v>
      </c>
      <c r="F180">
        <f>IF(Tradebook_2023_2026[[#This Row],[Trade Type]]="buy",-(Tradebook_2023_2026[[#This Row],[Quantity]]*Tradebook_2023_2026[[#This Row],[Price]]),(Tradebook_2023_2026[[#This Row],[Quantity]]*Tradebook_2023_2026[[#This Row],[Price]]))</f>
        <v>-4624</v>
      </c>
    </row>
    <row r="181" spans="1:6">
      <c r="A181" t="s">
        <v>38</v>
      </c>
      <c r="B181" s="1">
        <v>46087</v>
      </c>
      <c r="C181" t="s">
        <v>8</v>
      </c>
      <c r="D181">
        <v>24</v>
      </c>
      <c r="E181">
        <v>288.95</v>
      </c>
      <c r="F181">
        <f>IF(Tradebook_2023_2026[[#This Row],[Trade Type]]="buy",-(Tradebook_2023_2026[[#This Row],[Quantity]]*Tradebook_2023_2026[[#This Row],[Price]]),(Tradebook_2023_2026[[#This Row],[Quantity]]*Tradebook_2023_2026[[#This Row],[Price]]))</f>
        <v>-6934.7999999999993</v>
      </c>
    </row>
    <row r="182" spans="1:6">
      <c r="A182" t="s">
        <v>38</v>
      </c>
      <c r="B182" s="1">
        <v>46087</v>
      </c>
      <c r="C182" t="s">
        <v>8</v>
      </c>
      <c r="D182">
        <v>31</v>
      </c>
      <c r="E182">
        <v>288.95</v>
      </c>
      <c r="F182">
        <f>IF(Tradebook_2023_2026[[#This Row],[Trade Type]]="buy",-(Tradebook_2023_2026[[#This Row],[Quantity]]*Tradebook_2023_2026[[#This Row],[Price]]),(Tradebook_2023_2026[[#This Row],[Quantity]]*Tradebook_2023_2026[[#This Row],[Price]]))</f>
        <v>-8957.4499999999989</v>
      </c>
    </row>
    <row r="183" spans="1:6">
      <c r="A183" t="s">
        <v>38</v>
      </c>
      <c r="B183" s="1">
        <v>46087</v>
      </c>
      <c r="C183" t="s">
        <v>8</v>
      </c>
      <c r="D183">
        <v>31</v>
      </c>
      <c r="E183">
        <v>288.95</v>
      </c>
      <c r="F183">
        <f>IF(Tradebook_2023_2026[[#This Row],[Trade Type]]="buy",-(Tradebook_2023_2026[[#This Row],[Quantity]]*Tradebook_2023_2026[[#This Row],[Price]]),(Tradebook_2023_2026[[#This Row],[Quantity]]*Tradebook_2023_2026[[#This Row],[Price]]))</f>
        <v>-8957.4499999999989</v>
      </c>
    </row>
    <row r="184" spans="1:6">
      <c r="A184" t="s">
        <v>38</v>
      </c>
      <c r="B184" s="1">
        <v>46087</v>
      </c>
      <c r="C184" t="s">
        <v>8</v>
      </c>
      <c r="D184">
        <v>31</v>
      </c>
      <c r="E184">
        <v>288.95</v>
      </c>
      <c r="F184">
        <f>IF(Tradebook_2023_2026[[#This Row],[Trade Type]]="buy",-(Tradebook_2023_2026[[#This Row],[Quantity]]*Tradebook_2023_2026[[#This Row],[Price]]),(Tradebook_2023_2026[[#This Row],[Quantity]]*Tradebook_2023_2026[[#This Row],[Price]]))</f>
        <v>-8957.4499999999989</v>
      </c>
    </row>
    <row r="185" spans="1:6">
      <c r="A185" t="s">
        <v>38</v>
      </c>
      <c r="B185" s="1">
        <v>46087</v>
      </c>
      <c r="C185" t="s">
        <v>8</v>
      </c>
      <c r="D185">
        <v>31</v>
      </c>
      <c r="E185">
        <v>288.95</v>
      </c>
      <c r="F185">
        <f>IF(Tradebook_2023_2026[[#This Row],[Trade Type]]="buy",-(Tradebook_2023_2026[[#This Row],[Quantity]]*Tradebook_2023_2026[[#This Row],[Price]]),(Tradebook_2023_2026[[#This Row],[Quantity]]*Tradebook_2023_2026[[#This Row],[Price]]))</f>
        <v>-8957.4499999999989</v>
      </c>
    </row>
    <row r="186" spans="1:6">
      <c r="A186" t="s">
        <v>38</v>
      </c>
      <c r="B186" s="1">
        <v>46087</v>
      </c>
      <c r="C186" t="s">
        <v>8</v>
      </c>
      <c r="D186">
        <v>31</v>
      </c>
      <c r="E186">
        <v>288.95</v>
      </c>
      <c r="F186">
        <f>IF(Tradebook_2023_2026[[#This Row],[Trade Type]]="buy",-(Tradebook_2023_2026[[#This Row],[Quantity]]*Tradebook_2023_2026[[#This Row],[Price]]),(Tradebook_2023_2026[[#This Row],[Quantity]]*Tradebook_2023_2026[[#This Row],[Price]]))</f>
        <v>-8957.4499999999989</v>
      </c>
    </row>
    <row r="187" spans="1:6">
      <c r="A187" t="s">
        <v>38</v>
      </c>
      <c r="B187" s="1">
        <v>46087</v>
      </c>
      <c r="C187" t="s">
        <v>8</v>
      </c>
      <c r="D187">
        <v>31</v>
      </c>
      <c r="E187">
        <v>288.95</v>
      </c>
      <c r="F187">
        <f>IF(Tradebook_2023_2026[[#This Row],[Trade Type]]="buy",-(Tradebook_2023_2026[[#This Row],[Quantity]]*Tradebook_2023_2026[[#This Row],[Price]]),(Tradebook_2023_2026[[#This Row],[Quantity]]*Tradebook_2023_2026[[#This Row],[Price]]))</f>
        <v>-8957.4499999999989</v>
      </c>
    </row>
    <row r="188" spans="1:6">
      <c r="A188" t="s">
        <v>38</v>
      </c>
      <c r="B188" s="1">
        <v>46087</v>
      </c>
      <c r="C188" t="s">
        <v>8</v>
      </c>
      <c r="D188">
        <v>3</v>
      </c>
      <c r="E188">
        <v>289</v>
      </c>
      <c r="F188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189" spans="1:6">
      <c r="A189" t="s">
        <v>38</v>
      </c>
      <c r="B189" s="1">
        <v>46087</v>
      </c>
      <c r="C189" t="s">
        <v>8</v>
      </c>
      <c r="D189">
        <v>3</v>
      </c>
      <c r="E189">
        <v>289</v>
      </c>
      <c r="F189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190" spans="1:6">
      <c r="A190" t="s">
        <v>38</v>
      </c>
      <c r="B190" s="1">
        <v>46087</v>
      </c>
      <c r="C190" t="s">
        <v>8</v>
      </c>
      <c r="D190">
        <v>3</v>
      </c>
      <c r="E190">
        <v>289</v>
      </c>
      <c r="F190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191" spans="1:6">
      <c r="A191" t="s">
        <v>38</v>
      </c>
      <c r="B191" s="1">
        <v>46087</v>
      </c>
      <c r="C191" t="s">
        <v>8</v>
      </c>
      <c r="D191">
        <v>3</v>
      </c>
      <c r="E191">
        <v>289</v>
      </c>
      <c r="F191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192" spans="1:6">
      <c r="A192" t="s">
        <v>38</v>
      </c>
      <c r="B192" s="1">
        <v>46087</v>
      </c>
      <c r="C192" t="s">
        <v>8</v>
      </c>
      <c r="D192">
        <v>3</v>
      </c>
      <c r="E192">
        <v>289</v>
      </c>
      <c r="F192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193" spans="1:6">
      <c r="A193" t="s">
        <v>38</v>
      </c>
      <c r="B193" s="1">
        <v>46087</v>
      </c>
      <c r="C193" t="s">
        <v>8</v>
      </c>
      <c r="D193">
        <v>3</v>
      </c>
      <c r="E193">
        <v>289</v>
      </c>
      <c r="F193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194" spans="1:6">
      <c r="A194" t="s">
        <v>38</v>
      </c>
      <c r="B194" s="1">
        <v>46087</v>
      </c>
      <c r="C194" t="s">
        <v>8</v>
      </c>
      <c r="D194">
        <v>3</v>
      </c>
      <c r="E194">
        <v>289</v>
      </c>
      <c r="F194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195" spans="1:6">
      <c r="A195" t="s">
        <v>38</v>
      </c>
      <c r="B195" s="1">
        <v>46087</v>
      </c>
      <c r="C195" t="s">
        <v>8</v>
      </c>
      <c r="D195">
        <v>3</v>
      </c>
      <c r="E195">
        <v>289</v>
      </c>
      <c r="F195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196" spans="1:6">
      <c r="A196" t="s">
        <v>38</v>
      </c>
      <c r="B196" s="1">
        <v>46087</v>
      </c>
      <c r="C196" t="s">
        <v>8</v>
      </c>
      <c r="D196">
        <v>3</v>
      </c>
      <c r="E196">
        <v>289</v>
      </c>
      <c r="F196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197" spans="1:6">
      <c r="A197" t="s">
        <v>38</v>
      </c>
      <c r="B197" s="1">
        <v>46087</v>
      </c>
      <c r="C197" t="s">
        <v>8</v>
      </c>
      <c r="D197">
        <v>3</v>
      </c>
      <c r="E197">
        <v>289</v>
      </c>
      <c r="F197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198" spans="1:6">
      <c r="A198" t="s">
        <v>38</v>
      </c>
      <c r="B198" s="1">
        <v>46087</v>
      </c>
      <c r="C198" t="s">
        <v>8</v>
      </c>
      <c r="D198">
        <v>3</v>
      </c>
      <c r="E198">
        <v>289</v>
      </c>
      <c r="F198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199" spans="1:6">
      <c r="A199" t="s">
        <v>38</v>
      </c>
      <c r="B199" s="1">
        <v>46087</v>
      </c>
      <c r="C199" t="s">
        <v>8</v>
      </c>
      <c r="D199">
        <v>3</v>
      </c>
      <c r="E199">
        <v>289</v>
      </c>
      <c r="F199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200" spans="1:6">
      <c r="A200" t="s">
        <v>38</v>
      </c>
      <c r="B200" s="1">
        <v>46087</v>
      </c>
      <c r="C200" t="s">
        <v>8</v>
      </c>
      <c r="D200">
        <v>3</v>
      </c>
      <c r="E200">
        <v>289</v>
      </c>
      <c r="F200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201" spans="1:6">
      <c r="A201" t="s">
        <v>38</v>
      </c>
      <c r="B201" s="1">
        <v>46087</v>
      </c>
      <c r="C201" t="s">
        <v>8</v>
      </c>
      <c r="D201">
        <v>3</v>
      </c>
      <c r="E201">
        <v>289</v>
      </c>
      <c r="F201">
        <f>IF(Tradebook_2023_2026[[#This Row],[Trade Type]]="buy",-(Tradebook_2023_2026[[#This Row],[Quantity]]*Tradebook_2023_2026[[#This Row],[Price]]),(Tradebook_2023_2026[[#This Row],[Quantity]]*Tradebook_2023_2026[[#This Row],[Price]]))</f>
        <v>-867</v>
      </c>
    </row>
    <row r="202" spans="1:6">
      <c r="A202" t="s">
        <v>38</v>
      </c>
      <c r="B202" s="1">
        <v>46087</v>
      </c>
      <c r="C202" t="s">
        <v>8</v>
      </c>
      <c r="D202">
        <v>5</v>
      </c>
      <c r="E202">
        <v>288.95</v>
      </c>
      <c r="F202">
        <f>IF(Tradebook_2023_2026[[#This Row],[Trade Type]]="buy",-(Tradebook_2023_2026[[#This Row],[Quantity]]*Tradebook_2023_2026[[#This Row],[Price]]),(Tradebook_2023_2026[[#This Row],[Quantity]]*Tradebook_2023_2026[[#This Row],[Price]]))</f>
        <v>-1444.75</v>
      </c>
    </row>
    <row r="203" spans="1:6">
      <c r="A203" t="s">
        <v>38</v>
      </c>
      <c r="B203" s="1">
        <v>46087</v>
      </c>
      <c r="C203" t="s">
        <v>8</v>
      </c>
      <c r="D203">
        <v>7</v>
      </c>
      <c r="E203">
        <v>289</v>
      </c>
      <c r="F203">
        <f>IF(Tradebook_2023_2026[[#This Row],[Trade Type]]="buy",-(Tradebook_2023_2026[[#This Row],[Quantity]]*Tradebook_2023_2026[[#This Row],[Price]]),(Tradebook_2023_2026[[#This Row],[Quantity]]*Tradebook_2023_2026[[#This Row],[Price]]))</f>
        <v>-2023</v>
      </c>
    </row>
    <row r="204" spans="1:6">
      <c r="A204" t="s">
        <v>38</v>
      </c>
      <c r="B204" s="1">
        <v>46087</v>
      </c>
      <c r="C204" t="s">
        <v>8</v>
      </c>
      <c r="D204">
        <v>7</v>
      </c>
      <c r="E204">
        <v>289</v>
      </c>
      <c r="F204">
        <f>IF(Tradebook_2023_2026[[#This Row],[Trade Type]]="buy",-(Tradebook_2023_2026[[#This Row],[Quantity]]*Tradebook_2023_2026[[#This Row],[Price]]),(Tradebook_2023_2026[[#This Row],[Quantity]]*Tradebook_2023_2026[[#This Row],[Price]]))</f>
        <v>-2023</v>
      </c>
    </row>
    <row r="205" spans="1:6">
      <c r="A205" t="s">
        <v>38</v>
      </c>
      <c r="B205" s="1">
        <v>46087</v>
      </c>
      <c r="C205" t="s">
        <v>8</v>
      </c>
      <c r="D205">
        <v>7</v>
      </c>
      <c r="E205">
        <v>289</v>
      </c>
      <c r="F205">
        <f>IF(Tradebook_2023_2026[[#This Row],[Trade Type]]="buy",-(Tradebook_2023_2026[[#This Row],[Quantity]]*Tradebook_2023_2026[[#This Row],[Price]]),(Tradebook_2023_2026[[#This Row],[Quantity]]*Tradebook_2023_2026[[#This Row],[Price]]))</f>
        <v>-2023</v>
      </c>
    </row>
    <row r="206" spans="1:6">
      <c r="A206" t="s">
        <v>38</v>
      </c>
      <c r="B206" s="1">
        <v>46087</v>
      </c>
      <c r="C206" t="s">
        <v>8</v>
      </c>
      <c r="D206">
        <v>7</v>
      </c>
      <c r="E206">
        <v>289</v>
      </c>
      <c r="F206">
        <f>IF(Tradebook_2023_2026[[#This Row],[Trade Type]]="buy",-(Tradebook_2023_2026[[#This Row],[Quantity]]*Tradebook_2023_2026[[#This Row],[Price]]),(Tradebook_2023_2026[[#This Row],[Quantity]]*Tradebook_2023_2026[[#This Row],[Price]]))</f>
        <v>-2023</v>
      </c>
    </row>
    <row r="207" spans="1:6">
      <c r="A207" t="s">
        <v>38</v>
      </c>
      <c r="B207" s="1">
        <v>46087</v>
      </c>
      <c r="C207" t="s">
        <v>8</v>
      </c>
      <c r="D207">
        <v>7</v>
      </c>
      <c r="E207">
        <v>289</v>
      </c>
      <c r="F207">
        <f>IF(Tradebook_2023_2026[[#This Row],[Trade Type]]="buy",-(Tradebook_2023_2026[[#This Row],[Quantity]]*Tradebook_2023_2026[[#This Row],[Price]]),(Tradebook_2023_2026[[#This Row],[Quantity]]*Tradebook_2023_2026[[#This Row],[Price]]))</f>
        <v>-2023</v>
      </c>
    </row>
    <row r="208" spans="1:6">
      <c r="A208" t="s">
        <v>38</v>
      </c>
      <c r="B208" s="1">
        <v>46087</v>
      </c>
      <c r="C208" t="s">
        <v>8</v>
      </c>
      <c r="D208">
        <v>7</v>
      </c>
      <c r="E208">
        <v>289</v>
      </c>
      <c r="F208">
        <f>IF(Tradebook_2023_2026[[#This Row],[Trade Type]]="buy",-(Tradebook_2023_2026[[#This Row],[Quantity]]*Tradebook_2023_2026[[#This Row],[Price]]),(Tradebook_2023_2026[[#This Row],[Quantity]]*Tradebook_2023_2026[[#This Row],[Price]]))</f>
        <v>-2023</v>
      </c>
    </row>
    <row r="209" spans="1:6">
      <c r="A209" t="s">
        <v>38</v>
      </c>
      <c r="B209" s="1">
        <v>46087</v>
      </c>
      <c r="C209" t="s">
        <v>8</v>
      </c>
      <c r="D209">
        <v>7</v>
      </c>
      <c r="E209">
        <v>289</v>
      </c>
      <c r="F209">
        <f>IF(Tradebook_2023_2026[[#This Row],[Trade Type]]="buy",-(Tradebook_2023_2026[[#This Row],[Quantity]]*Tradebook_2023_2026[[#This Row],[Price]]),(Tradebook_2023_2026[[#This Row],[Quantity]]*Tradebook_2023_2026[[#This Row],[Price]]))</f>
        <v>-2023</v>
      </c>
    </row>
    <row r="210" spans="1:6">
      <c r="A210" t="s">
        <v>38</v>
      </c>
      <c r="B210" s="1">
        <v>46087</v>
      </c>
      <c r="C210" t="s">
        <v>8</v>
      </c>
      <c r="D210">
        <v>7</v>
      </c>
      <c r="E210">
        <v>289</v>
      </c>
      <c r="F210">
        <f>IF(Tradebook_2023_2026[[#This Row],[Trade Type]]="buy",-(Tradebook_2023_2026[[#This Row],[Quantity]]*Tradebook_2023_2026[[#This Row],[Price]]),(Tradebook_2023_2026[[#This Row],[Quantity]]*Tradebook_2023_2026[[#This Row],[Price]]))</f>
        <v>-2023</v>
      </c>
    </row>
    <row r="211" spans="1:6">
      <c r="A211" t="s">
        <v>38</v>
      </c>
      <c r="B211" s="1">
        <v>46087</v>
      </c>
      <c r="C211" t="s">
        <v>8</v>
      </c>
      <c r="D211">
        <v>7</v>
      </c>
      <c r="E211">
        <v>289</v>
      </c>
      <c r="F211">
        <f>IF(Tradebook_2023_2026[[#This Row],[Trade Type]]="buy",-(Tradebook_2023_2026[[#This Row],[Quantity]]*Tradebook_2023_2026[[#This Row],[Price]]),(Tradebook_2023_2026[[#This Row],[Quantity]]*Tradebook_2023_2026[[#This Row],[Price]]))</f>
        <v>-2023</v>
      </c>
    </row>
    <row r="212" spans="1:6">
      <c r="A212" t="s">
        <v>38</v>
      </c>
      <c r="B212" s="1">
        <v>46087</v>
      </c>
      <c r="C212" t="s">
        <v>8</v>
      </c>
      <c r="D212">
        <v>7</v>
      </c>
      <c r="E212">
        <v>289</v>
      </c>
      <c r="F212">
        <f>IF(Tradebook_2023_2026[[#This Row],[Trade Type]]="buy",-(Tradebook_2023_2026[[#This Row],[Quantity]]*Tradebook_2023_2026[[#This Row],[Price]]),(Tradebook_2023_2026[[#This Row],[Quantity]]*Tradebook_2023_2026[[#This Row],[Price]]))</f>
        <v>-2023</v>
      </c>
    </row>
    <row r="213" spans="1:6">
      <c r="A213" t="s">
        <v>38</v>
      </c>
      <c r="B213" s="1">
        <v>46087</v>
      </c>
      <c r="C213" t="s">
        <v>8</v>
      </c>
      <c r="D213">
        <v>7</v>
      </c>
      <c r="E213">
        <v>289</v>
      </c>
      <c r="F213">
        <f>IF(Tradebook_2023_2026[[#This Row],[Trade Type]]="buy",-(Tradebook_2023_2026[[#This Row],[Quantity]]*Tradebook_2023_2026[[#This Row],[Price]]),(Tradebook_2023_2026[[#This Row],[Quantity]]*Tradebook_2023_2026[[#This Row],[Price]]))</f>
        <v>-2023</v>
      </c>
    </row>
    <row r="214" spans="1:6">
      <c r="A214" t="s">
        <v>38</v>
      </c>
      <c r="B214" s="1">
        <v>46087</v>
      </c>
      <c r="C214" t="s">
        <v>8</v>
      </c>
      <c r="D214">
        <v>7</v>
      </c>
      <c r="E214">
        <v>289</v>
      </c>
      <c r="F214">
        <f>IF(Tradebook_2023_2026[[#This Row],[Trade Type]]="buy",-(Tradebook_2023_2026[[#This Row],[Quantity]]*Tradebook_2023_2026[[#This Row],[Price]]),(Tradebook_2023_2026[[#This Row],[Quantity]]*Tradebook_2023_2026[[#This Row],[Price]]))</f>
        <v>-2023</v>
      </c>
    </row>
    <row r="215" spans="1:6">
      <c r="A215" t="s">
        <v>38</v>
      </c>
      <c r="B215" s="1">
        <v>46087</v>
      </c>
      <c r="C215" t="s">
        <v>8</v>
      </c>
      <c r="D215">
        <v>7</v>
      </c>
      <c r="E215">
        <v>289</v>
      </c>
      <c r="F215">
        <f>IF(Tradebook_2023_2026[[#This Row],[Trade Type]]="buy",-(Tradebook_2023_2026[[#This Row],[Quantity]]*Tradebook_2023_2026[[#This Row],[Price]]),(Tradebook_2023_2026[[#This Row],[Quantity]]*Tradebook_2023_2026[[#This Row],[Price]]))</f>
        <v>-2023</v>
      </c>
    </row>
    <row r="216" spans="1:6">
      <c r="A216" t="s">
        <v>38</v>
      </c>
      <c r="B216" s="1">
        <v>46087</v>
      </c>
      <c r="C216" t="s">
        <v>8</v>
      </c>
      <c r="D216">
        <v>8</v>
      </c>
      <c r="E216">
        <v>288.8</v>
      </c>
      <c r="F216">
        <f>IF(Tradebook_2023_2026[[#This Row],[Trade Type]]="buy",-(Tradebook_2023_2026[[#This Row],[Quantity]]*Tradebook_2023_2026[[#This Row],[Price]]),(Tradebook_2023_2026[[#This Row],[Quantity]]*Tradebook_2023_2026[[#This Row],[Price]]))</f>
        <v>-2310.4</v>
      </c>
    </row>
    <row r="217" spans="1:6">
      <c r="A217" t="s">
        <v>38</v>
      </c>
      <c r="B217" s="1">
        <v>46087</v>
      </c>
      <c r="C217" t="s">
        <v>8</v>
      </c>
      <c r="D217">
        <v>8</v>
      </c>
      <c r="E217">
        <v>288.95</v>
      </c>
      <c r="F217">
        <f>IF(Tradebook_2023_2026[[#This Row],[Trade Type]]="buy",-(Tradebook_2023_2026[[#This Row],[Quantity]]*Tradebook_2023_2026[[#This Row],[Price]]),(Tradebook_2023_2026[[#This Row],[Quantity]]*Tradebook_2023_2026[[#This Row],[Price]]))</f>
        <v>-2311.6</v>
      </c>
    </row>
    <row r="218" spans="1:6">
      <c r="A218" t="s">
        <v>38</v>
      </c>
      <c r="B218" s="1">
        <v>46087</v>
      </c>
      <c r="C218" t="s">
        <v>8</v>
      </c>
      <c r="D218">
        <v>8</v>
      </c>
      <c r="E218">
        <v>288.95</v>
      </c>
      <c r="F218">
        <f>IF(Tradebook_2023_2026[[#This Row],[Trade Type]]="buy",-(Tradebook_2023_2026[[#This Row],[Quantity]]*Tradebook_2023_2026[[#This Row],[Price]]),(Tradebook_2023_2026[[#This Row],[Quantity]]*Tradebook_2023_2026[[#This Row],[Price]]))</f>
        <v>-2311.6</v>
      </c>
    </row>
    <row r="219" spans="1:6">
      <c r="A219" t="s">
        <v>38</v>
      </c>
      <c r="B219" s="1">
        <v>46087</v>
      </c>
      <c r="C219" t="s">
        <v>8</v>
      </c>
      <c r="D219">
        <v>8</v>
      </c>
      <c r="E219">
        <v>288.95</v>
      </c>
      <c r="F219">
        <f>IF(Tradebook_2023_2026[[#This Row],[Trade Type]]="buy",-(Tradebook_2023_2026[[#This Row],[Quantity]]*Tradebook_2023_2026[[#This Row],[Price]]),(Tradebook_2023_2026[[#This Row],[Quantity]]*Tradebook_2023_2026[[#This Row],[Price]]))</f>
        <v>-2311.6</v>
      </c>
    </row>
    <row r="220" spans="1:6">
      <c r="A220" t="s">
        <v>38</v>
      </c>
      <c r="B220" s="1">
        <v>46087</v>
      </c>
      <c r="C220" t="s">
        <v>8</v>
      </c>
      <c r="D220">
        <v>8</v>
      </c>
      <c r="E220">
        <v>288.95</v>
      </c>
      <c r="F220">
        <f>IF(Tradebook_2023_2026[[#This Row],[Trade Type]]="buy",-(Tradebook_2023_2026[[#This Row],[Quantity]]*Tradebook_2023_2026[[#This Row],[Price]]),(Tradebook_2023_2026[[#This Row],[Quantity]]*Tradebook_2023_2026[[#This Row],[Price]]))</f>
        <v>-2311.6</v>
      </c>
    </row>
    <row r="221" spans="1:6">
      <c r="A221" t="s">
        <v>38</v>
      </c>
      <c r="B221" s="1">
        <v>46087</v>
      </c>
      <c r="C221" t="s">
        <v>8</v>
      </c>
      <c r="D221">
        <v>8</v>
      </c>
      <c r="E221">
        <v>288.95</v>
      </c>
      <c r="F221">
        <f>IF(Tradebook_2023_2026[[#This Row],[Trade Type]]="buy",-(Tradebook_2023_2026[[#This Row],[Quantity]]*Tradebook_2023_2026[[#This Row],[Price]]),(Tradebook_2023_2026[[#This Row],[Quantity]]*Tradebook_2023_2026[[#This Row],[Price]]))</f>
        <v>-2311.6</v>
      </c>
    </row>
    <row r="222" spans="1:6">
      <c r="A222" t="s">
        <v>38</v>
      </c>
      <c r="B222" s="1">
        <v>46087</v>
      </c>
      <c r="C222" t="s">
        <v>8</v>
      </c>
      <c r="D222">
        <v>8</v>
      </c>
      <c r="E222">
        <v>288.95</v>
      </c>
      <c r="F222">
        <f>IF(Tradebook_2023_2026[[#This Row],[Trade Type]]="buy",-(Tradebook_2023_2026[[#This Row],[Quantity]]*Tradebook_2023_2026[[#This Row],[Price]]),(Tradebook_2023_2026[[#This Row],[Quantity]]*Tradebook_2023_2026[[#This Row],[Price]]))</f>
        <v>-2311.6</v>
      </c>
    </row>
    <row r="223" spans="1:6">
      <c r="A223" t="s">
        <v>38</v>
      </c>
      <c r="B223" s="1">
        <v>46087</v>
      </c>
      <c r="C223" t="s">
        <v>8</v>
      </c>
      <c r="D223">
        <v>8</v>
      </c>
      <c r="E223">
        <v>288.95</v>
      </c>
      <c r="F223">
        <f>IF(Tradebook_2023_2026[[#This Row],[Trade Type]]="buy",-(Tradebook_2023_2026[[#This Row],[Quantity]]*Tradebook_2023_2026[[#This Row],[Price]]),(Tradebook_2023_2026[[#This Row],[Quantity]]*Tradebook_2023_2026[[#This Row],[Price]]))</f>
        <v>-2311.6</v>
      </c>
    </row>
    <row r="224" spans="1:6">
      <c r="A224" t="s">
        <v>39</v>
      </c>
      <c r="B224" s="1">
        <v>46087</v>
      </c>
      <c r="C224" t="s">
        <v>6</v>
      </c>
      <c r="D224">
        <v>37</v>
      </c>
      <c r="E224">
        <v>666.85</v>
      </c>
      <c r="F224">
        <f>IF(Tradebook_2023_2026[[#This Row],[Trade Type]]="buy",-(Tradebook_2023_2026[[#This Row],[Quantity]]*Tradebook_2023_2026[[#This Row],[Price]]),(Tradebook_2023_2026[[#This Row],[Quantity]]*Tradebook_2023_2026[[#This Row],[Price]]))</f>
        <v>24673.45</v>
      </c>
    </row>
    <row r="225" spans="1:6">
      <c r="A225" t="s">
        <v>40</v>
      </c>
      <c r="B225" s="1">
        <v>46087</v>
      </c>
      <c r="C225" t="s">
        <v>6</v>
      </c>
      <c r="D225">
        <v>2</v>
      </c>
      <c r="E225">
        <v>2454.3000000000002</v>
      </c>
      <c r="F225">
        <f>IF(Tradebook_2023_2026[[#This Row],[Trade Type]]="buy",-(Tradebook_2023_2026[[#This Row],[Quantity]]*Tradebook_2023_2026[[#This Row],[Price]]),(Tradebook_2023_2026[[#This Row],[Quantity]]*Tradebook_2023_2026[[#This Row],[Price]]))</f>
        <v>4908.6000000000004</v>
      </c>
    </row>
    <row r="226" spans="1:6">
      <c r="A226" t="s">
        <v>41</v>
      </c>
      <c r="B226" s="1">
        <v>46090</v>
      </c>
      <c r="C226" t="s">
        <v>8</v>
      </c>
      <c r="D226">
        <v>17</v>
      </c>
      <c r="E226">
        <v>3799.1001000000001</v>
      </c>
      <c r="F226">
        <f>IF(Tradebook_2023_2026[[#This Row],[Trade Type]]="buy",-(Tradebook_2023_2026[[#This Row],[Quantity]]*Tradebook_2023_2026[[#This Row],[Price]]),(Tradebook_2023_2026[[#This Row],[Quantity]]*Tradebook_2023_2026[[#This Row],[Price]]))</f>
        <v>-64584.701700000005</v>
      </c>
    </row>
    <row r="227" spans="1:6">
      <c r="A227" t="s">
        <v>41</v>
      </c>
      <c r="B227" s="1">
        <v>46090</v>
      </c>
      <c r="C227" t="s">
        <v>8</v>
      </c>
      <c r="D227">
        <v>20</v>
      </c>
      <c r="E227">
        <v>3806.5</v>
      </c>
      <c r="F227">
        <f>IF(Tradebook_2023_2026[[#This Row],[Trade Type]]="buy",-(Tradebook_2023_2026[[#This Row],[Quantity]]*Tradebook_2023_2026[[#This Row],[Price]]),(Tradebook_2023_2026[[#This Row],[Quantity]]*Tradebook_2023_2026[[#This Row],[Price]]))</f>
        <v>-76130</v>
      </c>
    </row>
    <row r="228" spans="1:6">
      <c r="A228" t="s">
        <v>41</v>
      </c>
      <c r="B228" s="1">
        <v>46090</v>
      </c>
      <c r="C228" t="s">
        <v>8</v>
      </c>
      <c r="D228">
        <v>23</v>
      </c>
      <c r="E228">
        <v>3806.3998999999999</v>
      </c>
      <c r="F228">
        <f>IF(Tradebook_2023_2026[[#This Row],[Trade Type]]="buy",-(Tradebook_2023_2026[[#This Row],[Quantity]]*Tradebook_2023_2026[[#This Row],[Price]]),(Tradebook_2023_2026[[#This Row],[Quantity]]*Tradebook_2023_2026[[#This Row],[Price]]))</f>
        <v>-87547.197700000004</v>
      </c>
    </row>
    <row r="229" spans="1:6">
      <c r="A229" t="s">
        <v>41</v>
      </c>
      <c r="B229" s="1">
        <v>46090</v>
      </c>
      <c r="C229" t="s">
        <v>8</v>
      </c>
      <c r="D229">
        <v>25</v>
      </c>
      <c r="E229">
        <v>3799</v>
      </c>
      <c r="F229">
        <f>IF(Tradebook_2023_2026[[#This Row],[Trade Type]]="buy",-(Tradebook_2023_2026[[#This Row],[Quantity]]*Tradebook_2023_2026[[#This Row],[Price]]),(Tradebook_2023_2026[[#This Row],[Quantity]]*Tradebook_2023_2026[[#This Row],[Price]]))</f>
        <v>-94975</v>
      </c>
    </row>
    <row r="230" spans="1:6">
      <c r="A230" t="s">
        <v>41</v>
      </c>
      <c r="B230" s="1">
        <v>46090</v>
      </c>
      <c r="C230" t="s">
        <v>8</v>
      </c>
      <c r="D230">
        <v>3</v>
      </c>
      <c r="E230">
        <v>3799.3</v>
      </c>
      <c r="F230">
        <f>IF(Tradebook_2023_2026[[#This Row],[Trade Type]]="buy",-(Tradebook_2023_2026[[#This Row],[Quantity]]*Tradebook_2023_2026[[#This Row],[Price]]),(Tradebook_2023_2026[[#This Row],[Quantity]]*Tradebook_2023_2026[[#This Row],[Price]]))</f>
        <v>-11397.900000000001</v>
      </c>
    </row>
    <row r="231" spans="1:6">
      <c r="A231" t="s">
        <v>41</v>
      </c>
      <c r="B231" s="1">
        <v>46090</v>
      </c>
      <c r="C231" t="s">
        <v>8</v>
      </c>
      <c r="D231">
        <v>3</v>
      </c>
      <c r="E231">
        <v>3806.2</v>
      </c>
      <c r="F231">
        <f>IF(Tradebook_2023_2026[[#This Row],[Trade Type]]="buy",-(Tradebook_2023_2026[[#This Row],[Quantity]]*Tradebook_2023_2026[[#This Row],[Price]]),(Tradebook_2023_2026[[#This Row],[Quantity]]*Tradebook_2023_2026[[#This Row],[Price]]))</f>
        <v>-11418.599999999999</v>
      </c>
    </row>
    <row r="232" spans="1:6">
      <c r="A232" t="s">
        <v>41</v>
      </c>
      <c r="B232" s="1">
        <v>46090</v>
      </c>
      <c r="C232" t="s">
        <v>8</v>
      </c>
      <c r="D232">
        <v>37</v>
      </c>
      <c r="E232">
        <v>3806.6001000000001</v>
      </c>
      <c r="F232">
        <f>IF(Tradebook_2023_2026[[#This Row],[Trade Type]]="buy",-(Tradebook_2023_2026[[#This Row],[Quantity]]*Tradebook_2023_2026[[#This Row],[Price]]),(Tradebook_2023_2026[[#This Row],[Quantity]]*Tradebook_2023_2026[[#This Row],[Price]]))</f>
        <v>-140844.20370000001</v>
      </c>
    </row>
    <row r="233" spans="1:6">
      <c r="A233" t="s">
        <v>41</v>
      </c>
      <c r="B233" s="1">
        <v>46090</v>
      </c>
      <c r="C233" t="s">
        <v>8</v>
      </c>
      <c r="D233">
        <v>5</v>
      </c>
      <c r="E233">
        <v>3806.3998999999999</v>
      </c>
      <c r="F233">
        <f>IF(Tradebook_2023_2026[[#This Row],[Trade Type]]="buy",-(Tradebook_2023_2026[[#This Row],[Quantity]]*Tradebook_2023_2026[[#This Row],[Price]]),(Tradebook_2023_2026[[#This Row],[Quantity]]*Tradebook_2023_2026[[#This Row],[Price]]))</f>
        <v>-19031.999499999998</v>
      </c>
    </row>
    <row r="234" spans="1:6">
      <c r="A234" t="s">
        <v>42</v>
      </c>
      <c r="B234" s="1">
        <v>46090</v>
      </c>
      <c r="C234" t="s">
        <v>8</v>
      </c>
      <c r="D234">
        <v>44</v>
      </c>
      <c r="E234">
        <v>459</v>
      </c>
      <c r="F234">
        <f>IF(Tradebook_2023_2026[[#This Row],[Trade Type]]="buy",-(Tradebook_2023_2026[[#This Row],[Quantity]]*Tradebook_2023_2026[[#This Row],[Price]]),(Tradebook_2023_2026[[#This Row],[Quantity]]*Tradebook_2023_2026[[#This Row],[Price]]))</f>
        <v>-20196</v>
      </c>
    </row>
    <row r="235" spans="1:6">
      <c r="A235" t="s">
        <v>10</v>
      </c>
      <c r="B235" s="1">
        <v>46090</v>
      </c>
      <c r="C235" t="s">
        <v>6</v>
      </c>
      <c r="D235">
        <v>1</v>
      </c>
      <c r="E235">
        <v>300</v>
      </c>
      <c r="F235">
        <f>IF(Tradebook_2023_2026[[#This Row],[Trade Type]]="buy",-(Tradebook_2023_2026[[#This Row],[Quantity]]*Tradebook_2023_2026[[#This Row],[Price]]),(Tradebook_2023_2026[[#This Row],[Quantity]]*Tradebook_2023_2026[[#This Row],[Price]]))</f>
        <v>300</v>
      </c>
    </row>
    <row r="236" spans="1:6">
      <c r="A236" t="s">
        <v>10</v>
      </c>
      <c r="B236" s="1">
        <v>46090</v>
      </c>
      <c r="C236" t="s">
        <v>6</v>
      </c>
      <c r="D236">
        <v>129</v>
      </c>
      <c r="E236">
        <v>300</v>
      </c>
      <c r="F236">
        <f>IF(Tradebook_2023_2026[[#This Row],[Trade Type]]="buy",-(Tradebook_2023_2026[[#This Row],[Quantity]]*Tradebook_2023_2026[[#This Row],[Price]]),(Tradebook_2023_2026[[#This Row],[Quantity]]*Tradebook_2023_2026[[#This Row],[Price]]))</f>
        <v>38700</v>
      </c>
    </row>
    <row r="237" spans="1:6">
      <c r="A237" t="s">
        <v>10</v>
      </c>
      <c r="B237" s="1">
        <v>46090</v>
      </c>
      <c r="C237" t="s">
        <v>6</v>
      </c>
      <c r="D237">
        <v>382</v>
      </c>
      <c r="E237">
        <v>300</v>
      </c>
      <c r="F237">
        <f>IF(Tradebook_2023_2026[[#This Row],[Trade Type]]="buy",-(Tradebook_2023_2026[[#This Row],[Quantity]]*Tradebook_2023_2026[[#This Row],[Price]]),(Tradebook_2023_2026[[#This Row],[Quantity]]*Tradebook_2023_2026[[#This Row],[Price]]))</f>
        <v>114600</v>
      </c>
    </row>
    <row r="238" spans="1:6">
      <c r="A238" t="s">
        <v>43</v>
      </c>
      <c r="B238" s="1">
        <v>46090</v>
      </c>
      <c r="C238" t="s">
        <v>8</v>
      </c>
      <c r="D238">
        <v>135</v>
      </c>
      <c r="E238">
        <v>370.25</v>
      </c>
      <c r="F238">
        <f>IF(Tradebook_2023_2026[[#This Row],[Trade Type]]="buy",-(Tradebook_2023_2026[[#This Row],[Quantity]]*Tradebook_2023_2026[[#This Row],[Price]]),(Tradebook_2023_2026[[#This Row],[Quantity]]*Tradebook_2023_2026[[#This Row],[Price]]))</f>
        <v>-49983.75</v>
      </c>
    </row>
    <row r="239" spans="1:6">
      <c r="A239" t="s">
        <v>32</v>
      </c>
      <c r="B239" s="1">
        <v>46091</v>
      </c>
      <c r="C239" t="s">
        <v>6</v>
      </c>
      <c r="D239">
        <v>4500</v>
      </c>
      <c r="E239">
        <v>289</v>
      </c>
      <c r="F239">
        <f>IF(Tradebook_2023_2026[[#This Row],[Trade Type]]="buy",-(Tradebook_2023_2026[[#This Row],[Quantity]]*Tradebook_2023_2026[[#This Row],[Price]]),(Tradebook_2023_2026[[#This Row],[Quantity]]*Tradebook_2023_2026[[#This Row],[Price]]))</f>
        <v>1300500</v>
      </c>
    </row>
    <row r="240" spans="1:6">
      <c r="A240" t="s">
        <v>32</v>
      </c>
      <c r="B240" s="1">
        <v>46091</v>
      </c>
      <c r="C240" t="s">
        <v>6</v>
      </c>
      <c r="D240">
        <v>585</v>
      </c>
      <c r="E240">
        <v>289</v>
      </c>
      <c r="F240">
        <f>IF(Tradebook_2023_2026[[#This Row],[Trade Type]]="buy",-(Tradebook_2023_2026[[#This Row],[Quantity]]*Tradebook_2023_2026[[#This Row],[Price]]),(Tradebook_2023_2026[[#This Row],[Quantity]]*Tradebook_2023_2026[[#This Row],[Price]]))</f>
        <v>169065</v>
      </c>
    </row>
    <row r="241" spans="1:6">
      <c r="A241" t="s">
        <v>32</v>
      </c>
      <c r="B241" s="1">
        <v>46091</v>
      </c>
      <c r="C241" t="s">
        <v>6</v>
      </c>
      <c r="D241">
        <v>617</v>
      </c>
      <c r="E241">
        <v>289</v>
      </c>
      <c r="F241">
        <f>IF(Tradebook_2023_2026[[#This Row],[Trade Type]]="buy",-(Tradebook_2023_2026[[#This Row],[Quantity]]*Tradebook_2023_2026[[#This Row],[Price]]),(Tradebook_2023_2026[[#This Row],[Quantity]]*Tradebook_2023_2026[[#This Row],[Price]]))</f>
        <v>178313</v>
      </c>
    </row>
    <row r="242" spans="1:6">
      <c r="A242" t="s">
        <v>32</v>
      </c>
      <c r="B242" s="1">
        <v>46091</v>
      </c>
      <c r="C242" t="s">
        <v>6</v>
      </c>
      <c r="D242">
        <v>8</v>
      </c>
      <c r="E242">
        <v>289</v>
      </c>
      <c r="F242">
        <f>IF(Tradebook_2023_2026[[#This Row],[Trade Type]]="buy",-(Tradebook_2023_2026[[#This Row],[Quantity]]*Tradebook_2023_2026[[#This Row],[Price]]),(Tradebook_2023_2026[[#This Row],[Quantity]]*Tradebook_2023_2026[[#This Row],[Price]]))</f>
        <v>2312</v>
      </c>
    </row>
    <row r="243" spans="1:6">
      <c r="A243" t="s">
        <v>9</v>
      </c>
      <c r="B243" s="1">
        <v>46091</v>
      </c>
      <c r="C243" t="s">
        <v>6</v>
      </c>
      <c r="D243">
        <v>1078</v>
      </c>
      <c r="E243">
        <v>626.79999999999995</v>
      </c>
      <c r="F243">
        <f>IF(Tradebook_2023_2026[[#This Row],[Trade Type]]="buy",-(Tradebook_2023_2026[[#This Row],[Quantity]]*Tradebook_2023_2026[[#This Row],[Price]]),(Tradebook_2023_2026[[#This Row],[Quantity]]*Tradebook_2023_2026[[#This Row],[Price]]))</f>
        <v>675690.39999999991</v>
      </c>
    </row>
    <row r="244" spans="1:6">
      <c r="A244" t="s">
        <v>9</v>
      </c>
      <c r="B244" s="1">
        <v>46091</v>
      </c>
      <c r="C244" t="s">
        <v>6</v>
      </c>
      <c r="D244">
        <v>152</v>
      </c>
      <c r="E244">
        <v>626.79999999999995</v>
      </c>
      <c r="F244">
        <f>IF(Tradebook_2023_2026[[#This Row],[Trade Type]]="buy",-(Tradebook_2023_2026[[#This Row],[Quantity]]*Tradebook_2023_2026[[#This Row],[Price]]),(Tradebook_2023_2026[[#This Row],[Quantity]]*Tradebook_2023_2026[[#This Row],[Price]]))</f>
        <v>95273.599999999991</v>
      </c>
    </row>
    <row r="245" spans="1:6">
      <c r="A245" t="s">
        <v>9</v>
      </c>
      <c r="B245" s="1">
        <v>46091</v>
      </c>
      <c r="C245" t="s">
        <v>6</v>
      </c>
      <c r="D245">
        <v>168</v>
      </c>
      <c r="E245">
        <v>626.79999999999995</v>
      </c>
      <c r="F245">
        <f>IF(Tradebook_2023_2026[[#This Row],[Trade Type]]="buy",-(Tradebook_2023_2026[[#This Row],[Quantity]]*Tradebook_2023_2026[[#This Row],[Price]]),(Tradebook_2023_2026[[#This Row],[Quantity]]*Tradebook_2023_2026[[#This Row],[Price]]))</f>
        <v>105302.39999999999</v>
      </c>
    </row>
    <row r="246" spans="1:6">
      <c r="A246" t="s">
        <v>9</v>
      </c>
      <c r="B246" s="1">
        <v>46091</v>
      </c>
      <c r="C246" t="s">
        <v>6</v>
      </c>
      <c r="D246">
        <v>20</v>
      </c>
      <c r="E246">
        <v>626.79999999999995</v>
      </c>
      <c r="F246">
        <f>IF(Tradebook_2023_2026[[#This Row],[Trade Type]]="buy",-(Tradebook_2023_2026[[#This Row],[Quantity]]*Tradebook_2023_2026[[#This Row],[Price]]),(Tradebook_2023_2026[[#This Row],[Quantity]]*Tradebook_2023_2026[[#This Row],[Price]]))</f>
        <v>12536</v>
      </c>
    </row>
    <row r="247" spans="1:6">
      <c r="A247" t="s">
        <v>9</v>
      </c>
      <c r="B247" s="1">
        <v>46091</v>
      </c>
      <c r="C247" t="s">
        <v>6</v>
      </c>
      <c r="D247">
        <v>27</v>
      </c>
      <c r="E247">
        <v>626.79999999999995</v>
      </c>
      <c r="F247">
        <f>IF(Tradebook_2023_2026[[#This Row],[Trade Type]]="buy",-(Tradebook_2023_2026[[#This Row],[Quantity]]*Tradebook_2023_2026[[#This Row],[Price]]),(Tradebook_2023_2026[[#This Row],[Quantity]]*Tradebook_2023_2026[[#This Row],[Price]]))</f>
        <v>16923.599999999999</v>
      </c>
    </row>
    <row r="248" spans="1:6">
      <c r="A248" t="s">
        <v>9</v>
      </c>
      <c r="B248" s="1">
        <v>46091</v>
      </c>
      <c r="C248" t="s">
        <v>6</v>
      </c>
      <c r="D248">
        <v>55</v>
      </c>
      <c r="E248">
        <v>626.79999999999995</v>
      </c>
      <c r="F248">
        <f>IF(Tradebook_2023_2026[[#This Row],[Trade Type]]="buy",-(Tradebook_2023_2026[[#This Row],[Quantity]]*Tradebook_2023_2026[[#This Row],[Price]]),(Tradebook_2023_2026[[#This Row],[Quantity]]*Tradebook_2023_2026[[#This Row],[Price]]))</f>
        <v>34474</v>
      </c>
    </row>
    <row r="249" spans="1:6">
      <c r="A249" t="s">
        <v>44</v>
      </c>
      <c r="B249" s="1">
        <v>46093</v>
      </c>
      <c r="C249" t="s">
        <v>8</v>
      </c>
      <c r="D249">
        <v>205</v>
      </c>
      <c r="E249">
        <v>975</v>
      </c>
      <c r="F249">
        <f>IF(Tradebook_2023_2026[[#This Row],[Trade Type]]="buy",-(Tradebook_2023_2026[[#This Row],[Quantity]]*Tradebook_2023_2026[[#This Row],[Price]]),(Tradebook_2023_2026[[#This Row],[Quantity]]*Tradebook_2023_2026[[#This Row],[Price]]))</f>
        <v>-199875</v>
      </c>
    </row>
    <row r="250" spans="1:6">
      <c r="A250" t="s">
        <v>45</v>
      </c>
      <c r="B250" s="1">
        <v>46094</v>
      </c>
      <c r="C250" t="s">
        <v>8</v>
      </c>
      <c r="D250">
        <v>150</v>
      </c>
      <c r="E250">
        <v>1336.5</v>
      </c>
      <c r="F250">
        <f>IF(Tradebook_2023_2026[[#This Row],[Trade Type]]="buy",-(Tradebook_2023_2026[[#This Row],[Quantity]]*Tradebook_2023_2026[[#This Row],[Price]]),(Tradebook_2023_2026[[#This Row],[Quantity]]*Tradebook_2023_2026[[#This Row],[Price]]))</f>
        <v>-200475</v>
      </c>
    </row>
    <row r="251" spans="1:6">
      <c r="A251" t="s">
        <v>22</v>
      </c>
      <c r="B251" s="1">
        <v>46094</v>
      </c>
      <c r="C251" t="s">
        <v>8</v>
      </c>
      <c r="D251">
        <v>160</v>
      </c>
      <c r="E251">
        <v>1250</v>
      </c>
      <c r="F251">
        <f>IF(Tradebook_2023_2026[[#This Row],[Trade Type]]="buy",-(Tradebook_2023_2026[[#This Row],[Quantity]]*Tradebook_2023_2026[[#This Row],[Price]]),(Tradebook_2023_2026[[#This Row],[Quantity]]*Tradebook_2023_2026[[#This Row],[Price]]))</f>
        <v>-200000</v>
      </c>
    </row>
    <row r="252" spans="1:6">
      <c r="A252" t="s">
        <v>46</v>
      </c>
      <c r="B252" s="1">
        <v>46094</v>
      </c>
      <c r="C252" t="s">
        <v>8</v>
      </c>
      <c r="D252">
        <v>1060</v>
      </c>
      <c r="E252">
        <v>19.11</v>
      </c>
      <c r="F252">
        <f>IF(Tradebook_2023_2026[[#This Row],[Trade Type]]="buy",-(Tradebook_2023_2026[[#This Row],[Quantity]]*Tradebook_2023_2026[[#This Row],[Price]]),(Tradebook_2023_2026[[#This Row],[Quantity]]*Tradebook_2023_2026[[#This Row],[Price]]))</f>
        <v>-20256.599999999999</v>
      </c>
    </row>
    <row r="253" spans="1:6">
      <c r="A253" t="s">
        <v>46</v>
      </c>
      <c r="B253" s="1">
        <v>46094</v>
      </c>
      <c r="C253" t="s">
        <v>8</v>
      </c>
      <c r="D253">
        <v>1</v>
      </c>
      <c r="E253">
        <v>19.11</v>
      </c>
      <c r="F253">
        <f>IF(Tradebook_2023_2026[[#This Row],[Trade Type]]="buy",-(Tradebook_2023_2026[[#This Row],[Quantity]]*Tradebook_2023_2026[[#This Row],[Price]]),(Tradebook_2023_2026[[#This Row],[Quantity]]*Tradebook_2023_2026[[#This Row],[Price]]))</f>
        <v>-19.11</v>
      </c>
    </row>
    <row r="254" spans="1:6">
      <c r="A254" t="s">
        <v>46</v>
      </c>
      <c r="B254" s="1">
        <v>46094</v>
      </c>
      <c r="C254" t="s">
        <v>8</v>
      </c>
      <c r="D254">
        <v>1</v>
      </c>
      <c r="E254">
        <v>19.11</v>
      </c>
      <c r="F254">
        <f>IF(Tradebook_2023_2026[[#This Row],[Trade Type]]="buy",-(Tradebook_2023_2026[[#This Row],[Quantity]]*Tradebook_2023_2026[[#This Row],[Price]]),(Tradebook_2023_2026[[#This Row],[Quantity]]*Tradebook_2023_2026[[#This Row],[Price]]))</f>
        <v>-19.11</v>
      </c>
    </row>
    <row r="255" spans="1:6">
      <c r="A255" t="s">
        <v>46</v>
      </c>
      <c r="B255" s="1">
        <v>46094</v>
      </c>
      <c r="C255" t="s">
        <v>8</v>
      </c>
      <c r="D255">
        <v>1</v>
      </c>
      <c r="E255">
        <v>19.11</v>
      </c>
      <c r="F255">
        <f>IF(Tradebook_2023_2026[[#This Row],[Trade Type]]="buy",-(Tradebook_2023_2026[[#This Row],[Quantity]]*Tradebook_2023_2026[[#This Row],[Price]]),(Tradebook_2023_2026[[#This Row],[Quantity]]*Tradebook_2023_2026[[#This Row],[Price]]))</f>
        <v>-19.11</v>
      </c>
    </row>
    <row r="256" spans="1:6">
      <c r="A256" t="s">
        <v>46</v>
      </c>
      <c r="B256" s="1">
        <v>46094</v>
      </c>
      <c r="C256" t="s">
        <v>8</v>
      </c>
      <c r="D256">
        <v>1</v>
      </c>
      <c r="E256">
        <v>19.11</v>
      </c>
      <c r="F256">
        <f>IF(Tradebook_2023_2026[[#This Row],[Trade Type]]="buy",-(Tradebook_2023_2026[[#This Row],[Quantity]]*Tradebook_2023_2026[[#This Row],[Price]]),(Tradebook_2023_2026[[#This Row],[Quantity]]*Tradebook_2023_2026[[#This Row],[Price]]))</f>
        <v>-19.11</v>
      </c>
    </row>
    <row r="257" spans="1:6">
      <c r="A257" t="s">
        <v>46</v>
      </c>
      <c r="B257" s="1">
        <v>46094</v>
      </c>
      <c r="C257" t="s">
        <v>8</v>
      </c>
      <c r="D257">
        <v>1</v>
      </c>
      <c r="E257">
        <v>19.11</v>
      </c>
      <c r="F257">
        <f>IF(Tradebook_2023_2026[[#This Row],[Trade Type]]="buy",-(Tradebook_2023_2026[[#This Row],[Quantity]]*Tradebook_2023_2026[[#This Row],[Price]]),(Tradebook_2023_2026[[#This Row],[Quantity]]*Tradebook_2023_2026[[#This Row],[Price]]))</f>
        <v>-19.11</v>
      </c>
    </row>
    <row r="258" spans="1:6">
      <c r="A258" t="s">
        <v>46</v>
      </c>
      <c r="B258" s="1">
        <v>46094</v>
      </c>
      <c r="C258" t="s">
        <v>8</v>
      </c>
      <c r="D258">
        <v>1</v>
      </c>
      <c r="E258">
        <v>19.11</v>
      </c>
      <c r="F258">
        <f>IF(Tradebook_2023_2026[[#This Row],[Trade Type]]="buy",-(Tradebook_2023_2026[[#This Row],[Quantity]]*Tradebook_2023_2026[[#This Row],[Price]]),(Tradebook_2023_2026[[#This Row],[Quantity]]*Tradebook_2023_2026[[#This Row],[Price]]))</f>
        <v>-19.11</v>
      </c>
    </row>
    <row r="259" spans="1:6">
      <c r="A259" t="s">
        <v>46</v>
      </c>
      <c r="B259" s="1">
        <v>46094</v>
      </c>
      <c r="C259" t="s">
        <v>8</v>
      </c>
      <c r="D259">
        <v>24334</v>
      </c>
      <c r="E259">
        <v>19.11</v>
      </c>
      <c r="F259">
        <f>IF(Tradebook_2023_2026[[#This Row],[Trade Type]]="buy",-(Tradebook_2023_2026[[#This Row],[Quantity]]*Tradebook_2023_2026[[#This Row],[Price]]),(Tradebook_2023_2026[[#This Row],[Quantity]]*Tradebook_2023_2026[[#This Row],[Price]]))</f>
        <v>-465022.74</v>
      </c>
    </row>
    <row r="260" spans="1:6">
      <c r="A260" t="s">
        <v>47</v>
      </c>
      <c r="B260" s="1">
        <v>46094</v>
      </c>
      <c r="C260" t="s">
        <v>8</v>
      </c>
      <c r="D260">
        <v>999</v>
      </c>
      <c r="E260">
        <v>217</v>
      </c>
      <c r="F260">
        <f>IF(Tradebook_2023_2026[[#This Row],[Trade Type]]="buy",-(Tradebook_2023_2026[[#This Row],[Quantity]]*Tradebook_2023_2026[[#This Row],[Price]]),(Tradebook_2023_2026[[#This Row],[Quantity]]*Tradebook_2023_2026[[#This Row],[Price]]))</f>
        <v>-216783</v>
      </c>
    </row>
    <row r="261" spans="1:6">
      <c r="A261" t="s">
        <v>48</v>
      </c>
      <c r="B261" s="1">
        <v>46094</v>
      </c>
      <c r="C261" t="s">
        <v>8</v>
      </c>
      <c r="D261">
        <v>279</v>
      </c>
      <c r="E261">
        <v>462</v>
      </c>
      <c r="F261">
        <f>IF(Tradebook_2023_2026[[#This Row],[Trade Type]]="buy",-(Tradebook_2023_2026[[#This Row],[Quantity]]*Tradebook_2023_2026[[#This Row],[Price]]),(Tradebook_2023_2026[[#This Row],[Quantity]]*Tradebook_2023_2026[[#This Row],[Price]]))</f>
        <v>-128898</v>
      </c>
    </row>
    <row r="262" spans="1:6">
      <c r="A262" t="s">
        <v>48</v>
      </c>
      <c r="B262" s="1">
        <v>46094</v>
      </c>
      <c r="C262" t="s">
        <v>8</v>
      </c>
      <c r="D262">
        <v>4</v>
      </c>
      <c r="E262">
        <v>462</v>
      </c>
      <c r="F262">
        <f>IF(Tradebook_2023_2026[[#This Row],[Trade Type]]="buy",-(Tradebook_2023_2026[[#This Row],[Quantity]]*Tradebook_2023_2026[[#This Row],[Price]]),(Tradebook_2023_2026[[#This Row],[Quantity]]*Tradebook_2023_2026[[#This Row],[Price]]))</f>
        <v>-1848</v>
      </c>
    </row>
    <row r="263" spans="1:6">
      <c r="A263" t="s">
        <v>48</v>
      </c>
      <c r="B263" s="1">
        <v>46094</v>
      </c>
      <c r="C263" t="s">
        <v>8</v>
      </c>
      <c r="D263">
        <v>5</v>
      </c>
      <c r="E263">
        <v>462</v>
      </c>
      <c r="F263">
        <f>IF(Tradebook_2023_2026[[#This Row],[Trade Type]]="buy",-(Tradebook_2023_2026[[#This Row],[Quantity]]*Tradebook_2023_2026[[#This Row],[Price]]),(Tradebook_2023_2026[[#This Row],[Quantity]]*Tradebook_2023_2026[[#This Row],[Price]]))</f>
        <v>-2310</v>
      </c>
    </row>
    <row r="264" spans="1:6">
      <c r="A264" t="s">
        <v>49</v>
      </c>
      <c r="B264" s="1">
        <v>46097</v>
      </c>
      <c r="C264" t="s">
        <v>8</v>
      </c>
      <c r="D264">
        <v>12</v>
      </c>
      <c r="E264">
        <v>824.5</v>
      </c>
      <c r="F264">
        <f>IF(Tradebook_2023_2026[[#This Row],[Trade Type]]="buy",-(Tradebook_2023_2026[[#This Row],[Quantity]]*Tradebook_2023_2026[[#This Row],[Price]]),(Tradebook_2023_2026[[#This Row],[Quantity]]*Tradebook_2023_2026[[#This Row],[Price]]))</f>
        <v>-9894</v>
      </c>
    </row>
    <row r="265" spans="1:6">
      <c r="A265" t="s">
        <v>49</v>
      </c>
      <c r="B265" s="1">
        <v>46097</v>
      </c>
      <c r="C265" t="s">
        <v>8</v>
      </c>
      <c r="D265">
        <v>294</v>
      </c>
      <c r="E265">
        <v>825</v>
      </c>
      <c r="F265">
        <f>IF(Tradebook_2023_2026[[#This Row],[Trade Type]]="buy",-(Tradebook_2023_2026[[#This Row],[Quantity]]*Tradebook_2023_2026[[#This Row],[Price]]),(Tradebook_2023_2026[[#This Row],[Quantity]]*Tradebook_2023_2026[[#This Row],[Price]]))</f>
        <v>-242550</v>
      </c>
    </row>
    <row r="266" spans="1:6">
      <c r="A266" t="s">
        <v>49</v>
      </c>
      <c r="B266" s="1">
        <v>46097</v>
      </c>
      <c r="C266" t="s">
        <v>8</v>
      </c>
      <c r="D266">
        <v>39</v>
      </c>
      <c r="E266">
        <v>824.85</v>
      </c>
      <c r="F266">
        <f>IF(Tradebook_2023_2026[[#This Row],[Trade Type]]="buy",-(Tradebook_2023_2026[[#This Row],[Quantity]]*Tradebook_2023_2026[[#This Row],[Price]]),(Tradebook_2023_2026[[#This Row],[Quantity]]*Tradebook_2023_2026[[#This Row],[Price]]))</f>
        <v>-32169.15</v>
      </c>
    </row>
    <row r="267" spans="1:6">
      <c r="A267" t="s">
        <v>49</v>
      </c>
      <c r="B267" s="1">
        <v>46097</v>
      </c>
      <c r="C267" t="s">
        <v>8</v>
      </c>
      <c r="D267">
        <v>7</v>
      </c>
      <c r="E267">
        <v>824.55</v>
      </c>
      <c r="F267">
        <f>IF(Tradebook_2023_2026[[#This Row],[Trade Type]]="buy",-(Tradebook_2023_2026[[#This Row],[Quantity]]*Tradebook_2023_2026[[#This Row],[Price]]),(Tradebook_2023_2026[[#This Row],[Quantity]]*Tradebook_2023_2026[[#This Row],[Price]]))</f>
        <v>-5771.8499999999995</v>
      </c>
    </row>
    <row r="268" spans="1:6">
      <c r="A268" t="s">
        <v>49</v>
      </c>
      <c r="B268" s="1">
        <v>46097</v>
      </c>
      <c r="C268" t="s">
        <v>8</v>
      </c>
      <c r="D268">
        <v>8</v>
      </c>
      <c r="E268">
        <v>824.25</v>
      </c>
      <c r="F268">
        <f>IF(Tradebook_2023_2026[[#This Row],[Trade Type]]="buy",-(Tradebook_2023_2026[[#This Row],[Quantity]]*Tradebook_2023_2026[[#This Row],[Price]]),(Tradebook_2023_2026[[#This Row],[Quantity]]*Tradebook_2023_2026[[#This Row],[Price]]))</f>
        <v>-6594</v>
      </c>
    </row>
    <row r="269" spans="1:6">
      <c r="A269" t="s">
        <v>50</v>
      </c>
      <c r="B269" s="1">
        <v>46097</v>
      </c>
      <c r="C269" t="s">
        <v>8</v>
      </c>
      <c r="D269">
        <v>1555</v>
      </c>
      <c r="E269">
        <v>107</v>
      </c>
      <c r="F269">
        <f>IF(Tradebook_2023_2026[[#This Row],[Trade Type]]="buy",-(Tradebook_2023_2026[[#This Row],[Quantity]]*Tradebook_2023_2026[[#This Row],[Price]]),(Tradebook_2023_2026[[#This Row],[Quantity]]*Tradebook_2023_2026[[#This Row],[Price]]))</f>
        <v>-166385</v>
      </c>
    </row>
    <row r="270" spans="1:6">
      <c r="A270" t="s">
        <v>9</v>
      </c>
      <c r="B270" s="1">
        <v>46097</v>
      </c>
      <c r="C270" t="s">
        <v>8</v>
      </c>
      <c r="D270">
        <v>1500</v>
      </c>
      <c r="E270">
        <v>560</v>
      </c>
      <c r="F270">
        <f>IF(Tradebook_2023_2026[[#This Row],[Trade Type]]="buy",-(Tradebook_2023_2026[[#This Row],[Quantity]]*Tradebook_2023_2026[[#This Row],[Price]]),(Tradebook_2023_2026[[#This Row],[Quantity]]*Tradebook_2023_2026[[#This Row],[Price]]))</f>
        <v>-840000</v>
      </c>
    </row>
    <row r="271" spans="1:6">
      <c r="A271" t="s">
        <v>51</v>
      </c>
      <c r="B271" s="1">
        <v>46098</v>
      </c>
      <c r="C271" t="s">
        <v>6</v>
      </c>
      <c r="D271">
        <v>11</v>
      </c>
      <c r="E271">
        <v>345.6</v>
      </c>
      <c r="F271">
        <f>IF(Tradebook_2023_2026[[#This Row],[Trade Type]]="buy",-(Tradebook_2023_2026[[#This Row],[Quantity]]*Tradebook_2023_2026[[#This Row],[Price]]),(Tradebook_2023_2026[[#This Row],[Quantity]]*Tradebook_2023_2026[[#This Row],[Price]]))</f>
        <v>3801.6000000000004</v>
      </c>
    </row>
    <row r="272" spans="1:6">
      <c r="A272" t="s">
        <v>51</v>
      </c>
      <c r="B272" s="1">
        <v>46098</v>
      </c>
      <c r="C272" t="s">
        <v>6</v>
      </c>
      <c r="D272">
        <v>21</v>
      </c>
      <c r="E272">
        <v>345.55</v>
      </c>
      <c r="F272">
        <f>IF(Tradebook_2023_2026[[#This Row],[Trade Type]]="buy",-(Tradebook_2023_2026[[#This Row],[Quantity]]*Tradebook_2023_2026[[#This Row],[Price]]),(Tradebook_2023_2026[[#This Row],[Quantity]]*Tradebook_2023_2026[[#This Row],[Price]]))</f>
        <v>7256.55</v>
      </c>
    </row>
    <row r="273" spans="1:6">
      <c r="A273" t="s">
        <v>51</v>
      </c>
      <c r="B273" s="1">
        <v>46098</v>
      </c>
      <c r="C273" t="s">
        <v>6</v>
      </c>
      <c r="D273">
        <v>28</v>
      </c>
      <c r="E273">
        <v>345.6</v>
      </c>
      <c r="F273">
        <f>IF(Tradebook_2023_2026[[#This Row],[Trade Type]]="buy",-(Tradebook_2023_2026[[#This Row],[Quantity]]*Tradebook_2023_2026[[#This Row],[Price]]),(Tradebook_2023_2026[[#This Row],[Quantity]]*Tradebook_2023_2026[[#This Row],[Price]]))</f>
        <v>9676.8000000000011</v>
      </c>
    </row>
    <row r="274" spans="1:6">
      <c r="A274" t="s">
        <v>51</v>
      </c>
      <c r="B274" s="1">
        <v>46098</v>
      </c>
      <c r="C274" t="s">
        <v>6</v>
      </c>
      <c r="D274">
        <v>3</v>
      </c>
      <c r="E274">
        <v>345.55</v>
      </c>
      <c r="F274">
        <f>IF(Tradebook_2023_2026[[#This Row],[Trade Type]]="buy",-(Tradebook_2023_2026[[#This Row],[Quantity]]*Tradebook_2023_2026[[#This Row],[Price]]),(Tradebook_2023_2026[[#This Row],[Quantity]]*Tradebook_2023_2026[[#This Row],[Price]]))</f>
        <v>1036.6500000000001</v>
      </c>
    </row>
    <row r="275" spans="1:6">
      <c r="A275" t="s">
        <v>51</v>
      </c>
      <c r="B275" s="1">
        <v>46098</v>
      </c>
      <c r="C275" t="s">
        <v>6</v>
      </c>
      <c r="D275">
        <v>36</v>
      </c>
      <c r="E275">
        <v>345.45</v>
      </c>
      <c r="F275">
        <f>IF(Tradebook_2023_2026[[#This Row],[Trade Type]]="buy",-(Tradebook_2023_2026[[#This Row],[Quantity]]*Tradebook_2023_2026[[#This Row],[Price]]),(Tradebook_2023_2026[[#This Row],[Quantity]]*Tradebook_2023_2026[[#This Row],[Price]]))</f>
        <v>12436.199999999999</v>
      </c>
    </row>
    <row r="276" spans="1:6">
      <c r="A276" t="s">
        <v>51</v>
      </c>
      <c r="B276" s="1">
        <v>46098</v>
      </c>
      <c r="C276" t="s">
        <v>6</v>
      </c>
      <c r="D276">
        <v>57</v>
      </c>
      <c r="E276">
        <v>345.45</v>
      </c>
      <c r="F276">
        <f>IF(Tradebook_2023_2026[[#This Row],[Trade Type]]="buy",-(Tradebook_2023_2026[[#This Row],[Quantity]]*Tradebook_2023_2026[[#This Row],[Price]]),(Tradebook_2023_2026[[#This Row],[Quantity]]*Tradebook_2023_2026[[#This Row],[Price]]))</f>
        <v>19690.649999999998</v>
      </c>
    </row>
    <row r="277" spans="1:6">
      <c r="A277" t="s">
        <v>22</v>
      </c>
      <c r="B277" s="1">
        <v>46099</v>
      </c>
      <c r="C277" t="s">
        <v>6</v>
      </c>
      <c r="D277">
        <v>250</v>
      </c>
      <c r="E277">
        <v>1253</v>
      </c>
      <c r="F277">
        <f>IF(Tradebook_2023_2026[[#This Row],[Trade Type]]="buy",-(Tradebook_2023_2026[[#This Row],[Quantity]]*Tradebook_2023_2026[[#This Row],[Price]]),(Tradebook_2023_2026[[#This Row],[Quantity]]*Tradebook_2023_2026[[#This Row],[Price]]))</f>
        <v>313250</v>
      </c>
    </row>
    <row r="278" spans="1:6">
      <c r="A278" t="s">
        <v>22</v>
      </c>
      <c r="B278" s="1">
        <v>46099</v>
      </c>
      <c r="C278" t="s">
        <v>6</v>
      </c>
      <c r="D278">
        <v>3</v>
      </c>
      <c r="E278">
        <v>1253.05</v>
      </c>
      <c r="F278">
        <f>IF(Tradebook_2023_2026[[#This Row],[Trade Type]]="buy",-(Tradebook_2023_2026[[#This Row],[Quantity]]*Tradebook_2023_2026[[#This Row],[Price]]),(Tradebook_2023_2026[[#This Row],[Quantity]]*Tradebook_2023_2026[[#This Row],[Price]]))</f>
        <v>3759.1499999999996</v>
      </c>
    </row>
    <row r="279" spans="1:6">
      <c r="A279" t="s">
        <v>22</v>
      </c>
      <c r="B279" s="1">
        <v>46099</v>
      </c>
      <c r="C279" t="s">
        <v>6</v>
      </c>
      <c r="D279">
        <v>5</v>
      </c>
      <c r="E279">
        <v>1253</v>
      </c>
      <c r="F279">
        <f>IF(Tradebook_2023_2026[[#This Row],[Trade Type]]="buy",-(Tradebook_2023_2026[[#This Row],[Quantity]]*Tradebook_2023_2026[[#This Row],[Price]]),(Tradebook_2023_2026[[#This Row],[Quantity]]*Tradebook_2023_2026[[#This Row],[Price]]))</f>
        <v>6265</v>
      </c>
    </row>
    <row r="280" spans="1:6">
      <c r="A280" t="s">
        <v>48</v>
      </c>
      <c r="B280" s="1">
        <v>46099</v>
      </c>
      <c r="C280" t="s">
        <v>6</v>
      </c>
      <c r="D280">
        <v>288</v>
      </c>
      <c r="E280">
        <v>482</v>
      </c>
      <c r="F280">
        <f>IF(Tradebook_2023_2026[[#This Row],[Trade Type]]="buy",-(Tradebook_2023_2026[[#This Row],[Quantity]]*Tradebook_2023_2026[[#This Row],[Price]]),(Tradebook_2023_2026[[#This Row],[Quantity]]*Tradebook_2023_2026[[#This Row],[Price]]))</f>
        <v>138816</v>
      </c>
    </row>
    <row r="281" spans="1:6">
      <c r="A281" t="s">
        <v>52</v>
      </c>
      <c r="B281" s="1">
        <v>46104</v>
      </c>
      <c r="C281" t="s">
        <v>8</v>
      </c>
      <c r="D281">
        <v>14</v>
      </c>
      <c r="E281">
        <v>5546.5</v>
      </c>
      <c r="F281">
        <f>IF(Tradebook_2023_2026[[#This Row],[Trade Type]]="buy",-(Tradebook_2023_2026[[#This Row],[Quantity]]*Tradebook_2023_2026[[#This Row],[Price]]),(Tradebook_2023_2026[[#This Row],[Quantity]]*Tradebook_2023_2026[[#This Row],[Price]]))</f>
        <v>-77651</v>
      </c>
    </row>
    <row r="282" spans="1:6">
      <c r="A282" t="s">
        <v>52</v>
      </c>
      <c r="B282" s="1">
        <v>46104</v>
      </c>
      <c r="C282" t="s">
        <v>8</v>
      </c>
      <c r="D282">
        <v>2</v>
      </c>
      <c r="E282">
        <v>5547</v>
      </c>
      <c r="F282">
        <f>IF(Tradebook_2023_2026[[#This Row],[Trade Type]]="buy",-(Tradebook_2023_2026[[#This Row],[Quantity]]*Tradebook_2023_2026[[#This Row],[Price]]),(Tradebook_2023_2026[[#This Row],[Quantity]]*Tradebook_2023_2026[[#This Row],[Price]]))</f>
        <v>-11094</v>
      </c>
    </row>
    <row r="283" spans="1:6">
      <c r="A283" t="s">
        <v>52</v>
      </c>
      <c r="B283" s="1">
        <v>46104</v>
      </c>
      <c r="C283" t="s">
        <v>8</v>
      </c>
      <c r="D283">
        <v>4</v>
      </c>
      <c r="E283">
        <v>5545.5</v>
      </c>
      <c r="F283">
        <f>IF(Tradebook_2023_2026[[#This Row],[Trade Type]]="buy",-(Tradebook_2023_2026[[#This Row],[Quantity]]*Tradebook_2023_2026[[#This Row],[Price]]),(Tradebook_2023_2026[[#This Row],[Quantity]]*Tradebook_2023_2026[[#This Row],[Price]]))</f>
        <v>-22182</v>
      </c>
    </row>
    <row r="284" spans="1:6">
      <c r="A284" t="s">
        <v>52</v>
      </c>
      <c r="B284" s="1">
        <v>46104</v>
      </c>
      <c r="C284" t="s">
        <v>8</v>
      </c>
      <c r="D284">
        <v>6</v>
      </c>
      <c r="E284">
        <v>5545.5</v>
      </c>
      <c r="F284">
        <f>IF(Tradebook_2023_2026[[#This Row],[Trade Type]]="buy",-(Tradebook_2023_2026[[#This Row],[Quantity]]*Tradebook_2023_2026[[#This Row],[Price]]),(Tradebook_2023_2026[[#This Row],[Quantity]]*Tradebook_2023_2026[[#This Row],[Price]]))</f>
        <v>-33273</v>
      </c>
    </row>
    <row r="285" spans="1:6">
      <c r="A285" t="s">
        <v>52</v>
      </c>
      <c r="B285" s="1">
        <v>46104</v>
      </c>
      <c r="C285" t="s">
        <v>8</v>
      </c>
      <c r="D285">
        <v>7</v>
      </c>
      <c r="E285">
        <v>5546</v>
      </c>
      <c r="F285">
        <f>IF(Tradebook_2023_2026[[#This Row],[Trade Type]]="buy",-(Tradebook_2023_2026[[#This Row],[Quantity]]*Tradebook_2023_2026[[#This Row],[Price]]),(Tradebook_2023_2026[[#This Row],[Quantity]]*Tradebook_2023_2026[[#This Row],[Price]]))</f>
        <v>-38822</v>
      </c>
    </row>
    <row r="286" spans="1:6">
      <c r="A286" t="s">
        <v>52</v>
      </c>
      <c r="B286" s="1">
        <v>46104</v>
      </c>
      <c r="C286" t="s">
        <v>8</v>
      </c>
      <c r="D286">
        <v>7</v>
      </c>
      <c r="E286">
        <v>5546.5</v>
      </c>
      <c r="F286">
        <f>IF(Tradebook_2023_2026[[#This Row],[Trade Type]]="buy",-(Tradebook_2023_2026[[#This Row],[Quantity]]*Tradebook_2023_2026[[#This Row],[Price]]),(Tradebook_2023_2026[[#This Row],[Quantity]]*Tradebook_2023_2026[[#This Row],[Price]]))</f>
        <v>-38825.5</v>
      </c>
    </row>
    <row r="287" spans="1:6">
      <c r="A287" t="s">
        <v>53</v>
      </c>
      <c r="B287" s="1">
        <v>46104</v>
      </c>
      <c r="C287" t="s">
        <v>6</v>
      </c>
      <c r="D287">
        <v>200</v>
      </c>
      <c r="E287">
        <v>411</v>
      </c>
      <c r="F287">
        <f>IF(Tradebook_2023_2026[[#This Row],[Trade Type]]="buy",-(Tradebook_2023_2026[[#This Row],[Quantity]]*Tradebook_2023_2026[[#This Row],[Price]]),(Tradebook_2023_2026[[#This Row],[Quantity]]*Tradebook_2023_2026[[#This Row],[Price]]))</f>
        <v>82200</v>
      </c>
    </row>
    <row r="288" spans="1:6">
      <c r="A288" t="s">
        <v>53</v>
      </c>
      <c r="B288" s="1">
        <v>46104</v>
      </c>
      <c r="C288" t="s">
        <v>6</v>
      </c>
      <c r="D288">
        <v>25</v>
      </c>
      <c r="E288">
        <v>411</v>
      </c>
      <c r="F288">
        <f>IF(Tradebook_2023_2026[[#This Row],[Trade Type]]="buy",-(Tradebook_2023_2026[[#This Row],[Quantity]]*Tradebook_2023_2026[[#This Row],[Price]]),(Tradebook_2023_2026[[#This Row],[Quantity]]*Tradebook_2023_2026[[#This Row],[Price]]))</f>
        <v>10275</v>
      </c>
    </row>
    <row r="289" spans="1:6">
      <c r="A289" t="s">
        <v>53</v>
      </c>
      <c r="B289" s="1">
        <v>46104</v>
      </c>
      <c r="C289" t="s">
        <v>6</v>
      </c>
      <c r="D289">
        <v>29</v>
      </c>
      <c r="E289">
        <v>411</v>
      </c>
      <c r="F289">
        <f>IF(Tradebook_2023_2026[[#This Row],[Trade Type]]="buy",-(Tradebook_2023_2026[[#This Row],[Quantity]]*Tradebook_2023_2026[[#This Row],[Price]]),(Tradebook_2023_2026[[#This Row],[Quantity]]*Tradebook_2023_2026[[#This Row],[Price]]))</f>
        <v>11919</v>
      </c>
    </row>
    <row r="290" spans="1:6">
      <c r="A290" t="s">
        <v>53</v>
      </c>
      <c r="B290" s="1">
        <v>46104</v>
      </c>
      <c r="C290" t="s">
        <v>6</v>
      </c>
      <c r="D290">
        <v>50</v>
      </c>
      <c r="E290">
        <v>411</v>
      </c>
      <c r="F290">
        <f>IF(Tradebook_2023_2026[[#This Row],[Trade Type]]="buy",-(Tradebook_2023_2026[[#This Row],[Quantity]]*Tradebook_2023_2026[[#This Row],[Price]]),(Tradebook_2023_2026[[#This Row],[Quantity]]*Tradebook_2023_2026[[#This Row],[Price]]))</f>
        <v>20550</v>
      </c>
    </row>
    <row r="291" spans="1:6">
      <c r="A291" t="s">
        <v>53</v>
      </c>
      <c r="B291" s="1">
        <v>46104</v>
      </c>
      <c r="C291" t="s">
        <v>6</v>
      </c>
      <c r="D291">
        <v>5</v>
      </c>
      <c r="E291">
        <v>411</v>
      </c>
      <c r="F291">
        <f>IF(Tradebook_2023_2026[[#This Row],[Trade Type]]="buy",-(Tradebook_2023_2026[[#This Row],[Quantity]]*Tradebook_2023_2026[[#This Row],[Price]]),(Tradebook_2023_2026[[#This Row],[Quantity]]*Tradebook_2023_2026[[#This Row],[Price]]))</f>
        <v>2055</v>
      </c>
    </row>
    <row r="292" spans="1:6">
      <c r="A292" t="s">
        <v>53</v>
      </c>
      <c r="B292" s="1">
        <v>46104</v>
      </c>
      <c r="C292" t="s">
        <v>6</v>
      </c>
      <c r="D292">
        <v>69</v>
      </c>
      <c r="E292">
        <v>411</v>
      </c>
      <c r="F292">
        <f>IF(Tradebook_2023_2026[[#This Row],[Trade Type]]="buy",-(Tradebook_2023_2026[[#This Row],[Quantity]]*Tradebook_2023_2026[[#This Row],[Price]]),(Tradebook_2023_2026[[#This Row],[Quantity]]*Tradebook_2023_2026[[#This Row],[Price]]))</f>
        <v>28359</v>
      </c>
    </row>
    <row r="293" spans="1:6">
      <c r="A293" t="s">
        <v>54</v>
      </c>
      <c r="B293" s="1">
        <v>46104</v>
      </c>
      <c r="C293" t="s">
        <v>8</v>
      </c>
      <c r="D293">
        <v>222</v>
      </c>
      <c r="E293">
        <v>902</v>
      </c>
      <c r="F293">
        <f>IF(Tradebook_2023_2026[[#This Row],[Trade Type]]="buy",-(Tradebook_2023_2026[[#This Row],[Quantity]]*Tradebook_2023_2026[[#This Row],[Price]]),(Tradebook_2023_2026[[#This Row],[Quantity]]*Tradebook_2023_2026[[#This Row],[Price]]))</f>
        <v>-200244</v>
      </c>
    </row>
    <row r="294" spans="1:6">
      <c r="A294" t="s">
        <v>55</v>
      </c>
      <c r="B294" s="1">
        <v>46104</v>
      </c>
      <c r="C294" t="s">
        <v>8</v>
      </c>
      <c r="D294">
        <v>166</v>
      </c>
      <c r="E294">
        <v>1219</v>
      </c>
      <c r="F294">
        <f>IF(Tradebook_2023_2026[[#This Row],[Trade Type]]="buy",-(Tradebook_2023_2026[[#This Row],[Quantity]]*Tradebook_2023_2026[[#This Row],[Price]]),(Tradebook_2023_2026[[#This Row],[Quantity]]*Tradebook_2023_2026[[#This Row],[Price]]))</f>
        <v>-202354</v>
      </c>
    </row>
    <row r="295" spans="1:6">
      <c r="A295" t="s">
        <v>56</v>
      </c>
      <c r="B295" s="1">
        <v>46105</v>
      </c>
      <c r="C295" t="s">
        <v>8</v>
      </c>
      <c r="D295">
        <v>1</v>
      </c>
      <c r="E295">
        <v>442.2</v>
      </c>
      <c r="F295">
        <f>IF(Tradebook_2023_2026[[#This Row],[Trade Type]]="buy",-(Tradebook_2023_2026[[#This Row],[Quantity]]*Tradebook_2023_2026[[#This Row],[Price]]),(Tradebook_2023_2026[[#This Row],[Quantity]]*Tradebook_2023_2026[[#This Row],[Price]]))</f>
        <v>-442.2</v>
      </c>
    </row>
    <row r="296" spans="1:6">
      <c r="A296" t="s">
        <v>56</v>
      </c>
      <c r="B296" s="1">
        <v>46105</v>
      </c>
      <c r="C296" t="s">
        <v>8</v>
      </c>
      <c r="D296">
        <v>17</v>
      </c>
      <c r="E296">
        <v>442.2</v>
      </c>
      <c r="F296">
        <f>IF(Tradebook_2023_2026[[#This Row],[Trade Type]]="buy",-(Tradebook_2023_2026[[#This Row],[Quantity]]*Tradebook_2023_2026[[#This Row],[Price]]),(Tradebook_2023_2026[[#This Row],[Quantity]]*Tradebook_2023_2026[[#This Row],[Price]]))</f>
        <v>-7517.4</v>
      </c>
    </row>
    <row r="297" spans="1:6">
      <c r="A297" t="s">
        <v>56</v>
      </c>
      <c r="B297" s="1">
        <v>46105</v>
      </c>
      <c r="C297" t="s">
        <v>8</v>
      </c>
      <c r="D297">
        <v>175</v>
      </c>
      <c r="E297">
        <v>442.2</v>
      </c>
      <c r="F297">
        <f>IF(Tradebook_2023_2026[[#This Row],[Trade Type]]="buy",-(Tradebook_2023_2026[[#This Row],[Quantity]]*Tradebook_2023_2026[[#This Row],[Price]]),(Tradebook_2023_2026[[#This Row],[Quantity]]*Tradebook_2023_2026[[#This Row],[Price]]))</f>
        <v>-77385</v>
      </c>
    </row>
    <row r="298" spans="1:6">
      <c r="A298" t="s">
        <v>56</v>
      </c>
      <c r="B298" s="1">
        <v>46105</v>
      </c>
      <c r="C298" t="s">
        <v>8</v>
      </c>
      <c r="D298">
        <v>19</v>
      </c>
      <c r="E298">
        <v>442.2</v>
      </c>
      <c r="F298">
        <f>IF(Tradebook_2023_2026[[#This Row],[Trade Type]]="buy",-(Tradebook_2023_2026[[#This Row],[Quantity]]*Tradebook_2023_2026[[#This Row],[Price]]),(Tradebook_2023_2026[[#This Row],[Quantity]]*Tradebook_2023_2026[[#This Row],[Price]]))</f>
        <v>-8401.7999999999993</v>
      </c>
    </row>
    <row r="299" spans="1:6">
      <c r="A299" t="s">
        <v>56</v>
      </c>
      <c r="B299" s="1">
        <v>46105</v>
      </c>
      <c r="C299" t="s">
        <v>8</v>
      </c>
      <c r="D299">
        <v>3</v>
      </c>
      <c r="E299">
        <v>442.2</v>
      </c>
      <c r="F299">
        <f>IF(Tradebook_2023_2026[[#This Row],[Trade Type]]="buy",-(Tradebook_2023_2026[[#This Row],[Quantity]]*Tradebook_2023_2026[[#This Row],[Price]]),(Tradebook_2023_2026[[#This Row],[Quantity]]*Tradebook_2023_2026[[#This Row],[Price]]))</f>
        <v>-1326.6</v>
      </c>
    </row>
    <row r="300" spans="1:6">
      <c r="A300" t="s">
        <v>56</v>
      </c>
      <c r="B300" s="1">
        <v>46105</v>
      </c>
      <c r="C300" t="s">
        <v>8</v>
      </c>
      <c r="D300">
        <v>3</v>
      </c>
      <c r="E300">
        <v>442.2</v>
      </c>
      <c r="F300">
        <f>IF(Tradebook_2023_2026[[#This Row],[Trade Type]]="buy",-(Tradebook_2023_2026[[#This Row],[Quantity]]*Tradebook_2023_2026[[#This Row],[Price]]),(Tradebook_2023_2026[[#This Row],[Quantity]]*Tradebook_2023_2026[[#This Row],[Price]]))</f>
        <v>-1326.6</v>
      </c>
    </row>
    <row r="301" spans="1:6">
      <c r="A301" t="s">
        <v>56</v>
      </c>
      <c r="B301" s="1">
        <v>46105</v>
      </c>
      <c r="C301" t="s">
        <v>8</v>
      </c>
      <c r="D301">
        <v>47</v>
      </c>
      <c r="E301">
        <v>442.2</v>
      </c>
      <c r="F301">
        <f>IF(Tradebook_2023_2026[[#This Row],[Trade Type]]="buy",-(Tradebook_2023_2026[[#This Row],[Quantity]]*Tradebook_2023_2026[[#This Row],[Price]]),(Tradebook_2023_2026[[#This Row],[Quantity]]*Tradebook_2023_2026[[#This Row],[Price]]))</f>
        <v>-20783.399999999998</v>
      </c>
    </row>
    <row r="302" spans="1:6">
      <c r="A302" t="s">
        <v>56</v>
      </c>
      <c r="B302" s="1">
        <v>46105</v>
      </c>
      <c r="C302" t="s">
        <v>8</v>
      </c>
      <c r="D302">
        <v>478</v>
      </c>
      <c r="E302">
        <v>442.2</v>
      </c>
      <c r="F302">
        <f>IF(Tradebook_2023_2026[[#This Row],[Trade Type]]="buy",-(Tradebook_2023_2026[[#This Row],[Quantity]]*Tradebook_2023_2026[[#This Row],[Price]]),(Tradebook_2023_2026[[#This Row],[Quantity]]*Tradebook_2023_2026[[#This Row],[Price]]))</f>
        <v>-211371.6</v>
      </c>
    </row>
    <row r="303" spans="1:6">
      <c r="A303" t="s">
        <v>56</v>
      </c>
      <c r="B303" s="1">
        <v>46105</v>
      </c>
      <c r="C303" t="s">
        <v>8</v>
      </c>
      <c r="D303">
        <v>75</v>
      </c>
      <c r="E303">
        <v>442.2</v>
      </c>
      <c r="F303">
        <f>IF(Tradebook_2023_2026[[#This Row],[Trade Type]]="buy",-(Tradebook_2023_2026[[#This Row],[Quantity]]*Tradebook_2023_2026[[#This Row],[Price]]),(Tradebook_2023_2026[[#This Row],[Quantity]]*Tradebook_2023_2026[[#This Row],[Price]]))</f>
        <v>-33165</v>
      </c>
    </row>
    <row r="304" spans="1:6">
      <c r="A304" t="s">
        <v>56</v>
      </c>
      <c r="B304" s="1">
        <v>46105</v>
      </c>
      <c r="C304" t="s">
        <v>8</v>
      </c>
      <c r="D304">
        <v>82</v>
      </c>
      <c r="E304">
        <v>442.2</v>
      </c>
      <c r="F304">
        <f>IF(Tradebook_2023_2026[[#This Row],[Trade Type]]="buy",-(Tradebook_2023_2026[[#This Row],[Quantity]]*Tradebook_2023_2026[[#This Row],[Price]]),(Tradebook_2023_2026[[#This Row],[Quantity]]*Tradebook_2023_2026[[#This Row],[Price]]))</f>
        <v>-36260.400000000001</v>
      </c>
    </row>
    <row r="305" spans="1:6">
      <c r="A305" t="s">
        <v>56</v>
      </c>
      <c r="B305" s="1">
        <v>46105</v>
      </c>
      <c r="C305" t="s">
        <v>8</v>
      </c>
      <c r="D305">
        <v>99</v>
      </c>
      <c r="E305">
        <v>442.2</v>
      </c>
      <c r="F305">
        <f>IF(Tradebook_2023_2026[[#This Row],[Trade Type]]="buy",-(Tradebook_2023_2026[[#This Row],[Quantity]]*Tradebook_2023_2026[[#This Row],[Price]]),(Tradebook_2023_2026[[#This Row],[Quantity]]*Tradebook_2023_2026[[#This Row],[Price]]))</f>
        <v>-43777.799999999996</v>
      </c>
    </row>
    <row r="306" spans="1:6">
      <c r="A306" t="s">
        <v>57</v>
      </c>
      <c r="B306" s="1">
        <v>46108</v>
      </c>
      <c r="C306" t="s">
        <v>6</v>
      </c>
      <c r="D306">
        <v>1</v>
      </c>
      <c r="E306">
        <v>221.5</v>
      </c>
      <c r="F306">
        <f>IF(Tradebook_2023_2026[[#This Row],[Trade Type]]="buy",-(Tradebook_2023_2026[[#This Row],[Quantity]]*Tradebook_2023_2026[[#This Row],[Price]]),(Tradebook_2023_2026[[#This Row],[Quantity]]*Tradebook_2023_2026[[#This Row],[Price]]))</f>
        <v>221.5</v>
      </c>
    </row>
    <row r="307" spans="1:6">
      <c r="A307" t="s">
        <v>57</v>
      </c>
      <c r="B307" s="1">
        <v>46108</v>
      </c>
      <c r="C307" t="s">
        <v>6</v>
      </c>
      <c r="D307">
        <v>1</v>
      </c>
      <c r="E307">
        <v>221.5</v>
      </c>
      <c r="F307">
        <f>IF(Tradebook_2023_2026[[#This Row],[Trade Type]]="buy",-(Tradebook_2023_2026[[#This Row],[Quantity]]*Tradebook_2023_2026[[#This Row],[Price]]),(Tradebook_2023_2026[[#This Row],[Quantity]]*Tradebook_2023_2026[[#This Row],[Price]]))</f>
        <v>221.5</v>
      </c>
    </row>
    <row r="308" spans="1:6">
      <c r="A308" t="s">
        <v>57</v>
      </c>
      <c r="B308" s="1">
        <v>46108</v>
      </c>
      <c r="C308" t="s">
        <v>6</v>
      </c>
      <c r="D308">
        <v>1</v>
      </c>
      <c r="E308">
        <v>221.5</v>
      </c>
      <c r="F308">
        <f>IF(Tradebook_2023_2026[[#This Row],[Trade Type]]="buy",-(Tradebook_2023_2026[[#This Row],[Quantity]]*Tradebook_2023_2026[[#This Row],[Price]]),(Tradebook_2023_2026[[#This Row],[Quantity]]*Tradebook_2023_2026[[#This Row],[Price]]))</f>
        <v>221.5</v>
      </c>
    </row>
    <row r="309" spans="1:6">
      <c r="A309" t="s">
        <v>57</v>
      </c>
      <c r="B309" s="1">
        <v>46108</v>
      </c>
      <c r="C309" t="s">
        <v>6</v>
      </c>
      <c r="D309">
        <v>1</v>
      </c>
      <c r="E309">
        <v>221.5</v>
      </c>
      <c r="F309">
        <f>IF(Tradebook_2023_2026[[#This Row],[Trade Type]]="buy",-(Tradebook_2023_2026[[#This Row],[Quantity]]*Tradebook_2023_2026[[#This Row],[Price]]),(Tradebook_2023_2026[[#This Row],[Quantity]]*Tradebook_2023_2026[[#This Row],[Price]]))</f>
        <v>221.5</v>
      </c>
    </row>
    <row r="310" spans="1:6">
      <c r="A310" t="s">
        <v>57</v>
      </c>
      <c r="B310" s="1">
        <v>46108</v>
      </c>
      <c r="C310" t="s">
        <v>6</v>
      </c>
      <c r="D310">
        <v>1</v>
      </c>
      <c r="E310">
        <v>221.5</v>
      </c>
      <c r="F310">
        <f>IF(Tradebook_2023_2026[[#This Row],[Trade Type]]="buy",-(Tradebook_2023_2026[[#This Row],[Quantity]]*Tradebook_2023_2026[[#This Row],[Price]]),(Tradebook_2023_2026[[#This Row],[Quantity]]*Tradebook_2023_2026[[#This Row],[Price]]))</f>
        <v>221.5</v>
      </c>
    </row>
    <row r="311" spans="1:6">
      <c r="A311" t="s">
        <v>57</v>
      </c>
      <c r="B311" s="1">
        <v>46108</v>
      </c>
      <c r="C311" t="s">
        <v>6</v>
      </c>
      <c r="D311">
        <v>300</v>
      </c>
      <c r="E311">
        <v>221.5</v>
      </c>
      <c r="F311">
        <f>IF(Tradebook_2023_2026[[#This Row],[Trade Type]]="buy",-(Tradebook_2023_2026[[#This Row],[Quantity]]*Tradebook_2023_2026[[#This Row],[Price]]),(Tradebook_2023_2026[[#This Row],[Quantity]]*Tradebook_2023_2026[[#This Row],[Price]]))</f>
        <v>66450</v>
      </c>
    </row>
    <row r="312" spans="1:6">
      <c r="A312" t="s">
        <v>57</v>
      </c>
      <c r="B312" s="1">
        <v>46108</v>
      </c>
      <c r="C312" t="s">
        <v>6</v>
      </c>
      <c r="D312">
        <v>5</v>
      </c>
      <c r="E312">
        <v>221.5</v>
      </c>
      <c r="F312">
        <f>IF(Tradebook_2023_2026[[#This Row],[Trade Type]]="buy",-(Tradebook_2023_2026[[#This Row],[Quantity]]*Tradebook_2023_2026[[#This Row],[Price]]),(Tradebook_2023_2026[[#This Row],[Quantity]]*Tradebook_2023_2026[[#This Row],[Price]]))</f>
        <v>1107.5</v>
      </c>
    </row>
    <row r="313" spans="1:6">
      <c r="A313" t="s">
        <v>57</v>
      </c>
      <c r="B313" s="1">
        <v>46108</v>
      </c>
      <c r="C313" t="s">
        <v>6</v>
      </c>
      <c r="D313">
        <v>90</v>
      </c>
      <c r="E313">
        <v>221.5</v>
      </c>
      <c r="F313">
        <f>IF(Tradebook_2023_2026[[#This Row],[Trade Type]]="buy",-(Tradebook_2023_2026[[#This Row],[Quantity]]*Tradebook_2023_2026[[#This Row],[Price]]),(Tradebook_2023_2026[[#This Row],[Quantity]]*Tradebook_2023_2026[[#This Row],[Price]]))</f>
        <v>19935</v>
      </c>
    </row>
    <row r="314" spans="1:6">
      <c r="A314" t="s">
        <v>58</v>
      </c>
      <c r="B314" s="1">
        <v>46108</v>
      </c>
      <c r="C314" t="s">
        <v>6</v>
      </c>
      <c r="D314">
        <v>10</v>
      </c>
      <c r="E314">
        <v>1152.05</v>
      </c>
      <c r="F314">
        <f>IF(Tradebook_2023_2026[[#This Row],[Trade Type]]="buy",-(Tradebook_2023_2026[[#This Row],[Quantity]]*Tradebook_2023_2026[[#This Row],[Price]]),(Tradebook_2023_2026[[#This Row],[Quantity]]*Tradebook_2023_2026[[#This Row],[Price]]))</f>
        <v>11520.5</v>
      </c>
    </row>
    <row r="315" spans="1:6">
      <c r="A315" t="s">
        <v>58</v>
      </c>
      <c r="B315" s="1">
        <v>46108</v>
      </c>
      <c r="C315" t="s">
        <v>6</v>
      </c>
      <c r="D315">
        <v>114</v>
      </c>
      <c r="E315">
        <v>1151.95</v>
      </c>
      <c r="F315">
        <f>IF(Tradebook_2023_2026[[#This Row],[Trade Type]]="buy",-(Tradebook_2023_2026[[#This Row],[Quantity]]*Tradebook_2023_2026[[#This Row],[Price]]),(Tradebook_2023_2026[[#This Row],[Quantity]]*Tradebook_2023_2026[[#This Row],[Price]]))</f>
        <v>131322.30000000002</v>
      </c>
    </row>
    <row r="316" spans="1:6">
      <c r="A316" t="s">
        <v>58</v>
      </c>
      <c r="B316" s="1">
        <v>46108</v>
      </c>
      <c r="C316" t="s">
        <v>6</v>
      </c>
      <c r="D316">
        <v>17</v>
      </c>
      <c r="E316">
        <v>1152.25</v>
      </c>
      <c r="F316">
        <f>IF(Tradebook_2023_2026[[#This Row],[Trade Type]]="buy",-(Tradebook_2023_2026[[#This Row],[Quantity]]*Tradebook_2023_2026[[#This Row],[Price]]),(Tradebook_2023_2026[[#This Row],[Quantity]]*Tradebook_2023_2026[[#This Row],[Price]]))</f>
        <v>19588.25</v>
      </c>
    </row>
    <row r="317" spans="1:6">
      <c r="A317" t="s">
        <v>58</v>
      </c>
      <c r="B317" s="1">
        <v>46108</v>
      </c>
      <c r="C317" t="s">
        <v>6</v>
      </c>
      <c r="D317">
        <v>337</v>
      </c>
      <c r="E317">
        <v>1152</v>
      </c>
      <c r="F317">
        <f>IF(Tradebook_2023_2026[[#This Row],[Trade Type]]="buy",-(Tradebook_2023_2026[[#This Row],[Quantity]]*Tradebook_2023_2026[[#This Row],[Price]]),(Tradebook_2023_2026[[#This Row],[Quantity]]*Tradebook_2023_2026[[#This Row],[Price]]))</f>
        <v>388224</v>
      </c>
    </row>
    <row r="318" spans="1:6">
      <c r="A318" t="s">
        <v>58</v>
      </c>
      <c r="B318" s="1">
        <v>46108</v>
      </c>
      <c r="C318" t="s">
        <v>6</v>
      </c>
      <c r="D318">
        <v>4</v>
      </c>
      <c r="E318">
        <v>1152.5</v>
      </c>
      <c r="F318">
        <f>IF(Tradebook_2023_2026[[#This Row],[Trade Type]]="buy",-(Tradebook_2023_2026[[#This Row],[Quantity]]*Tradebook_2023_2026[[#This Row],[Price]]),(Tradebook_2023_2026[[#This Row],[Quantity]]*Tradebook_2023_2026[[#This Row],[Price]]))</f>
        <v>4610</v>
      </c>
    </row>
    <row r="319" spans="1:6">
      <c r="A319" t="s">
        <v>58</v>
      </c>
      <c r="B319" s="1">
        <v>46108</v>
      </c>
      <c r="C319" t="s">
        <v>6</v>
      </c>
      <c r="D319">
        <v>52</v>
      </c>
      <c r="E319">
        <v>1152.2</v>
      </c>
      <c r="F319">
        <f>IF(Tradebook_2023_2026[[#This Row],[Trade Type]]="buy",-(Tradebook_2023_2026[[#This Row],[Quantity]]*Tradebook_2023_2026[[#This Row],[Price]]),(Tradebook_2023_2026[[#This Row],[Quantity]]*Tradebook_2023_2026[[#This Row],[Price]]))</f>
        <v>59914.400000000001</v>
      </c>
    </row>
    <row r="320" spans="1:6">
      <c r="A320" t="s">
        <v>58</v>
      </c>
      <c r="B320" s="1">
        <v>46108</v>
      </c>
      <c r="C320" t="s">
        <v>6</v>
      </c>
      <c r="D320">
        <v>6</v>
      </c>
      <c r="E320">
        <v>1152.0999999999999</v>
      </c>
      <c r="F320">
        <f>IF(Tradebook_2023_2026[[#This Row],[Trade Type]]="buy",-(Tradebook_2023_2026[[#This Row],[Quantity]]*Tradebook_2023_2026[[#This Row],[Price]]),(Tradebook_2023_2026[[#This Row],[Quantity]]*Tradebook_2023_2026[[#This Row],[Price]]))</f>
        <v>6912.5999999999995</v>
      </c>
    </row>
    <row r="321" spans="1:6">
      <c r="A321" t="s">
        <v>58</v>
      </c>
      <c r="B321" s="1">
        <v>46108</v>
      </c>
      <c r="C321" t="s">
        <v>6</v>
      </c>
      <c r="D321">
        <v>87</v>
      </c>
      <c r="E321">
        <v>1152.4000000000001</v>
      </c>
      <c r="F321">
        <f>IF(Tradebook_2023_2026[[#This Row],[Trade Type]]="buy",-(Tradebook_2023_2026[[#This Row],[Quantity]]*Tradebook_2023_2026[[#This Row],[Price]]),(Tradebook_2023_2026[[#This Row],[Quantity]]*Tradebook_2023_2026[[#This Row],[Price]]))</f>
        <v>100258.8</v>
      </c>
    </row>
    <row r="322" spans="1:6">
      <c r="A322" t="s">
        <v>58</v>
      </c>
      <c r="B322" s="1">
        <v>46108</v>
      </c>
      <c r="C322" t="s">
        <v>8</v>
      </c>
      <c r="D322">
        <v>627</v>
      </c>
      <c r="E322">
        <v>1152.4000000000001</v>
      </c>
      <c r="F322">
        <f>IF(Tradebook_2023_2026[[#This Row],[Trade Type]]="buy",-(Tradebook_2023_2026[[#This Row],[Quantity]]*Tradebook_2023_2026[[#This Row],[Price]]),(Tradebook_2023_2026[[#This Row],[Quantity]]*Tradebook_2023_2026[[#This Row],[Price]]))</f>
        <v>-722554.8</v>
      </c>
    </row>
    <row r="323" spans="1:6">
      <c r="A323" t="s">
        <v>27</v>
      </c>
      <c r="B323" s="1">
        <v>46108</v>
      </c>
      <c r="C323" t="s">
        <v>6</v>
      </c>
      <c r="D323">
        <v>12</v>
      </c>
      <c r="E323">
        <v>643.15</v>
      </c>
      <c r="F323">
        <f>IF(Tradebook_2023_2026[[#This Row],[Trade Type]]="buy",-(Tradebook_2023_2026[[#This Row],[Quantity]]*Tradebook_2023_2026[[#This Row],[Price]]),(Tradebook_2023_2026[[#This Row],[Quantity]]*Tradebook_2023_2026[[#This Row],[Price]]))</f>
        <v>7717.7999999999993</v>
      </c>
    </row>
    <row r="324" spans="1:6">
      <c r="A324" t="s">
        <v>27</v>
      </c>
      <c r="B324" s="1">
        <v>46108</v>
      </c>
      <c r="C324" t="s">
        <v>6</v>
      </c>
      <c r="D324">
        <v>266</v>
      </c>
      <c r="E324">
        <v>643</v>
      </c>
      <c r="F324">
        <f>IF(Tradebook_2023_2026[[#This Row],[Trade Type]]="buy",-(Tradebook_2023_2026[[#This Row],[Quantity]]*Tradebook_2023_2026[[#This Row],[Price]]),(Tradebook_2023_2026[[#This Row],[Quantity]]*Tradebook_2023_2026[[#This Row],[Price]]))</f>
        <v>171038</v>
      </c>
    </row>
    <row r="325" spans="1:6">
      <c r="A325" t="s">
        <v>13</v>
      </c>
      <c r="B325" s="1">
        <v>46108</v>
      </c>
      <c r="C325" t="s">
        <v>6</v>
      </c>
      <c r="D325">
        <v>19</v>
      </c>
      <c r="E325">
        <v>1004</v>
      </c>
      <c r="F325">
        <f>IF(Tradebook_2023_2026[[#This Row],[Trade Type]]="buy",-(Tradebook_2023_2026[[#This Row],[Quantity]]*Tradebook_2023_2026[[#This Row],[Price]]),(Tradebook_2023_2026[[#This Row],[Quantity]]*Tradebook_2023_2026[[#This Row],[Price]]))</f>
        <v>19076</v>
      </c>
    </row>
    <row r="326" spans="1:6">
      <c r="A326" t="s">
        <v>13</v>
      </c>
      <c r="B326" s="1">
        <v>46108</v>
      </c>
      <c r="C326" t="s">
        <v>6</v>
      </c>
      <c r="D326">
        <v>32</v>
      </c>
      <c r="E326">
        <v>1004</v>
      </c>
      <c r="F326">
        <f>IF(Tradebook_2023_2026[[#This Row],[Trade Type]]="buy",-(Tradebook_2023_2026[[#This Row],[Quantity]]*Tradebook_2023_2026[[#This Row],[Price]]),(Tradebook_2023_2026[[#This Row],[Quantity]]*Tradebook_2023_2026[[#This Row],[Price]]))</f>
        <v>32128</v>
      </c>
    </row>
    <row r="327" spans="1:6">
      <c r="A327" t="s">
        <v>59</v>
      </c>
      <c r="B327" s="1">
        <v>46108</v>
      </c>
      <c r="C327" t="s">
        <v>6</v>
      </c>
      <c r="D327">
        <v>1</v>
      </c>
      <c r="E327">
        <v>1378.1</v>
      </c>
      <c r="F327">
        <f>IF(Tradebook_2023_2026[[#This Row],[Trade Type]]="buy",-(Tradebook_2023_2026[[#This Row],[Quantity]]*Tradebook_2023_2026[[#This Row],[Price]]),(Tradebook_2023_2026[[#This Row],[Quantity]]*Tradebook_2023_2026[[#This Row],[Price]]))</f>
        <v>1378.1</v>
      </c>
    </row>
    <row r="328" spans="1:6">
      <c r="A328" t="s">
        <v>59</v>
      </c>
      <c r="B328" s="1">
        <v>46108</v>
      </c>
      <c r="C328" t="s">
        <v>6</v>
      </c>
      <c r="D328">
        <v>1</v>
      </c>
      <c r="E328">
        <v>1378.2</v>
      </c>
      <c r="F328">
        <f>IF(Tradebook_2023_2026[[#This Row],[Trade Type]]="buy",-(Tradebook_2023_2026[[#This Row],[Quantity]]*Tradebook_2023_2026[[#This Row],[Price]]),(Tradebook_2023_2026[[#This Row],[Quantity]]*Tradebook_2023_2026[[#This Row],[Price]]))</f>
        <v>1378.2</v>
      </c>
    </row>
    <row r="329" spans="1:6">
      <c r="A329" t="s">
        <v>59</v>
      </c>
      <c r="B329" s="1">
        <v>46108</v>
      </c>
      <c r="C329" t="s">
        <v>6</v>
      </c>
      <c r="D329">
        <v>1</v>
      </c>
      <c r="E329">
        <v>1378.5</v>
      </c>
      <c r="F329">
        <f>IF(Tradebook_2023_2026[[#This Row],[Trade Type]]="buy",-(Tradebook_2023_2026[[#This Row],[Quantity]]*Tradebook_2023_2026[[#This Row],[Price]]),(Tradebook_2023_2026[[#This Row],[Quantity]]*Tradebook_2023_2026[[#This Row],[Price]]))</f>
        <v>1378.5</v>
      </c>
    </row>
    <row r="330" spans="1:6">
      <c r="A330" t="s">
        <v>59</v>
      </c>
      <c r="B330" s="1">
        <v>46108</v>
      </c>
      <c r="C330" t="s">
        <v>6</v>
      </c>
      <c r="D330">
        <v>1</v>
      </c>
      <c r="E330">
        <v>1378.6</v>
      </c>
      <c r="F330">
        <f>IF(Tradebook_2023_2026[[#This Row],[Trade Type]]="buy",-(Tradebook_2023_2026[[#This Row],[Quantity]]*Tradebook_2023_2026[[#This Row],[Price]]),(Tradebook_2023_2026[[#This Row],[Quantity]]*Tradebook_2023_2026[[#This Row],[Price]]))</f>
        <v>1378.6</v>
      </c>
    </row>
    <row r="331" spans="1:6">
      <c r="A331" t="s">
        <v>59</v>
      </c>
      <c r="B331" s="1">
        <v>46108</v>
      </c>
      <c r="C331" t="s">
        <v>6</v>
      </c>
      <c r="D331">
        <v>1</v>
      </c>
      <c r="E331">
        <v>1378.6</v>
      </c>
      <c r="F331">
        <f>IF(Tradebook_2023_2026[[#This Row],[Trade Type]]="buy",-(Tradebook_2023_2026[[#This Row],[Quantity]]*Tradebook_2023_2026[[#This Row],[Price]]),(Tradebook_2023_2026[[#This Row],[Quantity]]*Tradebook_2023_2026[[#This Row],[Price]]))</f>
        <v>1378.6</v>
      </c>
    </row>
    <row r="332" spans="1:6">
      <c r="A332" t="s">
        <v>59</v>
      </c>
      <c r="B332" s="1">
        <v>46108</v>
      </c>
      <c r="C332" t="s">
        <v>6</v>
      </c>
      <c r="D332">
        <v>1</v>
      </c>
      <c r="E332">
        <v>1378.6</v>
      </c>
      <c r="F332">
        <f>IF(Tradebook_2023_2026[[#This Row],[Trade Type]]="buy",-(Tradebook_2023_2026[[#This Row],[Quantity]]*Tradebook_2023_2026[[#This Row],[Price]]),(Tradebook_2023_2026[[#This Row],[Quantity]]*Tradebook_2023_2026[[#This Row],[Price]]))</f>
        <v>1378.6</v>
      </c>
    </row>
    <row r="333" spans="1:6">
      <c r="A333" t="s">
        <v>59</v>
      </c>
      <c r="B333" s="1">
        <v>46108</v>
      </c>
      <c r="C333" t="s">
        <v>6</v>
      </c>
      <c r="D333">
        <v>1</v>
      </c>
      <c r="E333">
        <v>1378.7</v>
      </c>
      <c r="F333">
        <f>IF(Tradebook_2023_2026[[#This Row],[Trade Type]]="buy",-(Tradebook_2023_2026[[#This Row],[Quantity]]*Tradebook_2023_2026[[#This Row],[Price]]),(Tradebook_2023_2026[[#This Row],[Quantity]]*Tradebook_2023_2026[[#This Row],[Price]]))</f>
        <v>1378.7</v>
      </c>
    </row>
    <row r="334" spans="1:6">
      <c r="A334" t="s">
        <v>59</v>
      </c>
      <c r="B334" s="1">
        <v>46108</v>
      </c>
      <c r="C334" t="s">
        <v>6</v>
      </c>
      <c r="D334">
        <v>18</v>
      </c>
      <c r="E334">
        <v>1378.2</v>
      </c>
      <c r="F334">
        <f>IF(Tradebook_2023_2026[[#This Row],[Trade Type]]="buy",-(Tradebook_2023_2026[[#This Row],[Quantity]]*Tradebook_2023_2026[[#This Row],[Price]]),(Tradebook_2023_2026[[#This Row],[Quantity]]*Tradebook_2023_2026[[#This Row],[Price]]))</f>
        <v>24807.600000000002</v>
      </c>
    </row>
    <row r="335" spans="1:6">
      <c r="A335" t="s">
        <v>59</v>
      </c>
      <c r="B335" s="1">
        <v>46108</v>
      </c>
      <c r="C335" t="s">
        <v>6</v>
      </c>
      <c r="D335">
        <v>2</v>
      </c>
      <c r="E335">
        <v>1378.1</v>
      </c>
      <c r="F335">
        <f>IF(Tradebook_2023_2026[[#This Row],[Trade Type]]="buy",-(Tradebook_2023_2026[[#This Row],[Quantity]]*Tradebook_2023_2026[[#This Row],[Price]]),(Tradebook_2023_2026[[#This Row],[Quantity]]*Tradebook_2023_2026[[#This Row],[Price]]))</f>
        <v>2756.2</v>
      </c>
    </row>
    <row r="336" spans="1:6">
      <c r="A336" t="s">
        <v>59</v>
      </c>
      <c r="B336" s="1">
        <v>46108</v>
      </c>
      <c r="C336" t="s">
        <v>6</v>
      </c>
      <c r="D336">
        <v>2</v>
      </c>
      <c r="E336">
        <v>1378.2</v>
      </c>
      <c r="F336">
        <f>IF(Tradebook_2023_2026[[#This Row],[Trade Type]]="buy",-(Tradebook_2023_2026[[#This Row],[Quantity]]*Tradebook_2023_2026[[#This Row],[Price]]),(Tradebook_2023_2026[[#This Row],[Quantity]]*Tradebook_2023_2026[[#This Row],[Price]]))</f>
        <v>2756.4</v>
      </c>
    </row>
    <row r="337" spans="1:6">
      <c r="A337" t="s">
        <v>59</v>
      </c>
      <c r="B337" s="1">
        <v>46108</v>
      </c>
      <c r="C337" t="s">
        <v>6</v>
      </c>
      <c r="D337">
        <v>2</v>
      </c>
      <c r="E337">
        <v>1378.4</v>
      </c>
      <c r="F337">
        <f>IF(Tradebook_2023_2026[[#This Row],[Trade Type]]="buy",-(Tradebook_2023_2026[[#This Row],[Quantity]]*Tradebook_2023_2026[[#This Row],[Price]]),(Tradebook_2023_2026[[#This Row],[Quantity]]*Tradebook_2023_2026[[#This Row],[Price]]))</f>
        <v>2756.8</v>
      </c>
    </row>
    <row r="338" spans="1:6">
      <c r="A338" t="s">
        <v>59</v>
      </c>
      <c r="B338" s="1">
        <v>46108</v>
      </c>
      <c r="C338" t="s">
        <v>6</v>
      </c>
      <c r="D338">
        <v>2</v>
      </c>
      <c r="E338">
        <v>1378.5</v>
      </c>
      <c r="F338">
        <f>IF(Tradebook_2023_2026[[#This Row],[Trade Type]]="buy",-(Tradebook_2023_2026[[#This Row],[Quantity]]*Tradebook_2023_2026[[#This Row],[Price]]),(Tradebook_2023_2026[[#This Row],[Quantity]]*Tradebook_2023_2026[[#This Row],[Price]]))</f>
        <v>2757</v>
      </c>
    </row>
    <row r="339" spans="1:6">
      <c r="A339" t="s">
        <v>59</v>
      </c>
      <c r="B339" s="1">
        <v>46108</v>
      </c>
      <c r="C339" t="s">
        <v>6</v>
      </c>
      <c r="D339">
        <v>2</v>
      </c>
      <c r="E339">
        <v>1378.6</v>
      </c>
      <c r="F339">
        <f>IF(Tradebook_2023_2026[[#This Row],[Trade Type]]="buy",-(Tradebook_2023_2026[[#This Row],[Quantity]]*Tradebook_2023_2026[[#This Row],[Price]]),(Tradebook_2023_2026[[#This Row],[Quantity]]*Tradebook_2023_2026[[#This Row],[Price]]))</f>
        <v>2757.2</v>
      </c>
    </row>
    <row r="340" spans="1:6">
      <c r="A340" t="s">
        <v>59</v>
      </c>
      <c r="B340" s="1">
        <v>46108</v>
      </c>
      <c r="C340" t="s">
        <v>6</v>
      </c>
      <c r="D340">
        <v>3</v>
      </c>
      <c r="E340">
        <v>1378.1</v>
      </c>
      <c r="F340">
        <f>IF(Tradebook_2023_2026[[#This Row],[Trade Type]]="buy",-(Tradebook_2023_2026[[#This Row],[Quantity]]*Tradebook_2023_2026[[#This Row],[Price]]),(Tradebook_2023_2026[[#This Row],[Quantity]]*Tradebook_2023_2026[[#This Row],[Price]]))</f>
        <v>4134.2999999999993</v>
      </c>
    </row>
    <row r="341" spans="1:6">
      <c r="A341" t="s">
        <v>59</v>
      </c>
      <c r="B341" s="1">
        <v>46108</v>
      </c>
      <c r="C341" t="s">
        <v>6</v>
      </c>
      <c r="D341">
        <v>3</v>
      </c>
      <c r="E341">
        <v>1378.2</v>
      </c>
      <c r="F341">
        <f>IF(Tradebook_2023_2026[[#This Row],[Trade Type]]="buy",-(Tradebook_2023_2026[[#This Row],[Quantity]]*Tradebook_2023_2026[[#This Row],[Price]]),(Tradebook_2023_2026[[#This Row],[Quantity]]*Tradebook_2023_2026[[#This Row],[Price]]))</f>
        <v>4134.6000000000004</v>
      </c>
    </row>
    <row r="342" spans="1:6">
      <c r="A342" t="s">
        <v>59</v>
      </c>
      <c r="B342" s="1">
        <v>46108</v>
      </c>
      <c r="C342" t="s">
        <v>6</v>
      </c>
      <c r="D342">
        <v>4</v>
      </c>
      <c r="E342">
        <v>1378.4</v>
      </c>
      <c r="F342">
        <f>IF(Tradebook_2023_2026[[#This Row],[Trade Type]]="buy",-(Tradebook_2023_2026[[#This Row],[Quantity]]*Tradebook_2023_2026[[#This Row],[Price]]),(Tradebook_2023_2026[[#This Row],[Quantity]]*Tradebook_2023_2026[[#This Row],[Price]]))</f>
        <v>5513.6</v>
      </c>
    </row>
    <row r="343" spans="1:6">
      <c r="A343" t="s">
        <v>59</v>
      </c>
      <c r="B343" s="1">
        <v>46108</v>
      </c>
      <c r="C343" t="s">
        <v>6</v>
      </c>
      <c r="D343">
        <v>5</v>
      </c>
      <c r="E343">
        <v>1378.2</v>
      </c>
      <c r="F343">
        <f>IF(Tradebook_2023_2026[[#This Row],[Trade Type]]="buy",-(Tradebook_2023_2026[[#This Row],[Quantity]]*Tradebook_2023_2026[[#This Row],[Price]]),(Tradebook_2023_2026[[#This Row],[Quantity]]*Tradebook_2023_2026[[#This Row],[Price]]))</f>
        <v>6891</v>
      </c>
    </row>
    <row r="344" spans="1:6">
      <c r="A344" t="s">
        <v>59</v>
      </c>
      <c r="B344" s="1">
        <v>46108</v>
      </c>
      <c r="C344" t="s">
        <v>6</v>
      </c>
      <c r="D344">
        <v>5</v>
      </c>
      <c r="E344">
        <v>1378.5</v>
      </c>
      <c r="F344">
        <f>IF(Tradebook_2023_2026[[#This Row],[Trade Type]]="buy",-(Tradebook_2023_2026[[#This Row],[Quantity]]*Tradebook_2023_2026[[#This Row],[Price]]),(Tradebook_2023_2026[[#This Row],[Quantity]]*Tradebook_2023_2026[[#This Row],[Price]]))</f>
        <v>6892.5</v>
      </c>
    </row>
    <row r="345" spans="1:6">
      <c r="A345" t="s">
        <v>59</v>
      </c>
      <c r="B345" s="1">
        <v>46108</v>
      </c>
      <c r="C345" t="s">
        <v>6</v>
      </c>
      <c r="D345">
        <v>6</v>
      </c>
      <c r="E345">
        <v>1378.2</v>
      </c>
      <c r="F345">
        <f>IF(Tradebook_2023_2026[[#This Row],[Trade Type]]="buy",-(Tradebook_2023_2026[[#This Row],[Quantity]]*Tradebook_2023_2026[[#This Row],[Price]]),(Tradebook_2023_2026[[#This Row],[Quantity]]*Tradebook_2023_2026[[#This Row],[Price]]))</f>
        <v>8269.2000000000007</v>
      </c>
    </row>
    <row r="346" spans="1:6">
      <c r="A346" t="s">
        <v>59</v>
      </c>
      <c r="B346" s="1">
        <v>46108</v>
      </c>
      <c r="C346" t="s">
        <v>6</v>
      </c>
      <c r="D346">
        <v>7</v>
      </c>
      <c r="E346">
        <v>1378.2</v>
      </c>
      <c r="F346">
        <f>IF(Tradebook_2023_2026[[#This Row],[Trade Type]]="buy",-(Tradebook_2023_2026[[#This Row],[Quantity]]*Tradebook_2023_2026[[#This Row],[Price]]),(Tradebook_2023_2026[[#This Row],[Quantity]]*Tradebook_2023_2026[[#This Row],[Price]]))</f>
        <v>9647.4</v>
      </c>
    </row>
    <row r="347" spans="1:6">
      <c r="A347" t="s">
        <v>59</v>
      </c>
      <c r="B347" s="1">
        <v>46108</v>
      </c>
      <c r="C347" t="s">
        <v>6</v>
      </c>
      <c r="D347">
        <v>7</v>
      </c>
      <c r="E347">
        <v>1378.7</v>
      </c>
      <c r="F347">
        <f>IF(Tradebook_2023_2026[[#This Row],[Trade Type]]="buy",-(Tradebook_2023_2026[[#This Row],[Quantity]]*Tradebook_2023_2026[[#This Row],[Price]]),(Tradebook_2023_2026[[#This Row],[Quantity]]*Tradebook_2023_2026[[#This Row],[Price]]))</f>
        <v>9650.9</v>
      </c>
    </row>
    <row r="348" spans="1:6">
      <c r="A348" t="s">
        <v>59</v>
      </c>
      <c r="B348" s="1">
        <v>46108</v>
      </c>
      <c r="C348" t="s">
        <v>6</v>
      </c>
      <c r="D348">
        <v>8</v>
      </c>
      <c r="E348">
        <v>1378.3</v>
      </c>
      <c r="F348">
        <f>IF(Tradebook_2023_2026[[#This Row],[Trade Type]]="buy",-(Tradebook_2023_2026[[#This Row],[Quantity]]*Tradebook_2023_2026[[#This Row],[Price]]),(Tradebook_2023_2026[[#This Row],[Quantity]]*Tradebook_2023_2026[[#This Row],[Price]]))</f>
        <v>11026.4</v>
      </c>
    </row>
    <row r="349" spans="1:6">
      <c r="A349" t="s">
        <v>59</v>
      </c>
      <c r="B349" s="1">
        <v>46108</v>
      </c>
      <c r="C349" t="s">
        <v>6</v>
      </c>
      <c r="D349">
        <v>8</v>
      </c>
      <c r="E349">
        <v>1378.5</v>
      </c>
      <c r="F349">
        <f>IF(Tradebook_2023_2026[[#This Row],[Trade Type]]="buy",-(Tradebook_2023_2026[[#This Row],[Quantity]]*Tradebook_2023_2026[[#This Row],[Price]]),(Tradebook_2023_2026[[#This Row],[Quantity]]*Tradebook_2023_2026[[#This Row],[Price]]))</f>
        <v>11028</v>
      </c>
    </row>
    <row r="350" spans="1:6">
      <c r="A350" t="s">
        <v>59</v>
      </c>
      <c r="B350" s="1">
        <v>46108</v>
      </c>
      <c r="C350" t="s">
        <v>6</v>
      </c>
      <c r="D350">
        <v>9</v>
      </c>
      <c r="E350">
        <v>1378.6</v>
      </c>
      <c r="F350">
        <f>IF(Tradebook_2023_2026[[#This Row],[Trade Type]]="buy",-(Tradebook_2023_2026[[#This Row],[Quantity]]*Tradebook_2023_2026[[#This Row],[Price]]),(Tradebook_2023_2026[[#This Row],[Quantity]]*Tradebook_2023_2026[[#This Row],[Price]]))</f>
        <v>12407.4</v>
      </c>
    </row>
    <row r="351" spans="1:6">
      <c r="A351" t="s">
        <v>60</v>
      </c>
      <c r="B351" s="1">
        <v>46108</v>
      </c>
      <c r="C351" t="s">
        <v>8</v>
      </c>
      <c r="D351">
        <v>666</v>
      </c>
      <c r="E351">
        <v>310</v>
      </c>
      <c r="F351">
        <f>IF(Tradebook_2023_2026[[#This Row],[Trade Type]]="buy",-(Tradebook_2023_2026[[#This Row],[Quantity]]*Tradebook_2023_2026[[#This Row],[Price]]),(Tradebook_2023_2026[[#This Row],[Quantity]]*Tradebook_2023_2026[[#This Row],[Price]]))</f>
        <v>-206460</v>
      </c>
    </row>
    <row r="352" spans="1:6">
      <c r="A352" t="s">
        <v>27</v>
      </c>
      <c r="B352" s="1">
        <v>46108</v>
      </c>
      <c r="C352" t="s">
        <v>8</v>
      </c>
      <c r="D352">
        <v>119</v>
      </c>
      <c r="E352">
        <v>638.95000000000005</v>
      </c>
      <c r="F352">
        <f>IF(Tradebook_2023_2026[[#This Row],[Trade Type]]="buy",-(Tradebook_2023_2026[[#This Row],[Quantity]]*Tradebook_2023_2026[[#This Row],[Price]]),(Tradebook_2023_2026[[#This Row],[Quantity]]*Tradebook_2023_2026[[#This Row],[Price]]))</f>
        <v>-76035.05</v>
      </c>
    </row>
    <row r="353" spans="1:6">
      <c r="A353" t="s">
        <v>27</v>
      </c>
      <c r="B353" s="1">
        <v>46108</v>
      </c>
      <c r="C353" t="s">
        <v>8</v>
      </c>
      <c r="D353">
        <v>43</v>
      </c>
      <c r="E353">
        <v>638.95000000000005</v>
      </c>
      <c r="F353">
        <f>IF(Tradebook_2023_2026[[#This Row],[Trade Type]]="buy",-(Tradebook_2023_2026[[#This Row],[Quantity]]*Tradebook_2023_2026[[#This Row],[Price]]),(Tradebook_2023_2026[[#This Row],[Quantity]]*Tradebook_2023_2026[[#This Row],[Price]]))</f>
        <v>-27474.850000000002</v>
      </c>
    </row>
    <row r="354" spans="1:6">
      <c r="A354" t="s">
        <v>27</v>
      </c>
      <c r="B354" s="1">
        <v>46108</v>
      </c>
      <c r="C354" t="s">
        <v>8</v>
      </c>
      <c r="D354">
        <v>45</v>
      </c>
      <c r="E354">
        <v>639</v>
      </c>
      <c r="F354">
        <f>IF(Tradebook_2023_2026[[#This Row],[Trade Type]]="buy",-(Tradebook_2023_2026[[#This Row],[Quantity]]*Tradebook_2023_2026[[#This Row],[Price]]),(Tradebook_2023_2026[[#This Row],[Quantity]]*Tradebook_2023_2026[[#This Row],[Price]]))</f>
        <v>-28755</v>
      </c>
    </row>
    <row r="355" spans="1:6">
      <c r="A355" t="s">
        <v>27</v>
      </c>
      <c r="B355" s="1">
        <v>46108</v>
      </c>
      <c r="C355" t="s">
        <v>8</v>
      </c>
      <c r="D355">
        <v>71</v>
      </c>
      <c r="E355">
        <v>638.95000000000005</v>
      </c>
      <c r="F355">
        <f>IF(Tradebook_2023_2026[[#This Row],[Trade Type]]="buy",-(Tradebook_2023_2026[[#This Row],[Quantity]]*Tradebook_2023_2026[[#This Row],[Price]]),(Tradebook_2023_2026[[#This Row],[Quantity]]*Tradebook_2023_2026[[#This Row],[Price]]))</f>
        <v>-45365.450000000004</v>
      </c>
    </row>
    <row r="356" spans="1:6">
      <c r="A356" t="s">
        <v>46</v>
      </c>
      <c r="B356" s="1">
        <v>46108</v>
      </c>
      <c r="C356" t="s">
        <v>6</v>
      </c>
      <c r="D356">
        <v>25400</v>
      </c>
      <c r="E356">
        <v>18.100000000000001</v>
      </c>
      <c r="F356">
        <f>IF(Tradebook_2023_2026[[#This Row],[Trade Type]]="buy",-(Tradebook_2023_2026[[#This Row],[Quantity]]*Tradebook_2023_2026[[#This Row],[Price]]),(Tradebook_2023_2026[[#This Row],[Quantity]]*Tradebook_2023_2026[[#This Row],[Price]]))</f>
        <v>459740.00000000006</v>
      </c>
    </row>
    <row r="357" spans="1:6">
      <c r="A357" t="s">
        <v>26</v>
      </c>
      <c r="B357" s="1">
        <v>46108</v>
      </c>
      <c r="C357" t="s">
        <v>6</v>
      </c>
      <c r="D357">
        <v>313</v>
      </c>
      <c r="E357">
        <v>483</v>
      </c>
      <c r="F357">
        <f>IF(Tradebook_2023_2026[[#This Row],[Trade Type]]="buy",-(Tradebook_2023_2026[[#This Row],[Quantity]]*Tradebook_2023_2026[[#This Row],[Price]]),(Tradebook_2023_2026[[#This Row],[Quantity]]*Tradebook_2023_2026[[#This Row],[Price]]))</f>
        <v>151179</v>
      </c>
    </row>
    <row r="358" spans="1:6">
      <c r="A358" t="s">
        <v>13</v>
      </c>
      <c r="B358" s="1">
        <v>46108</v>
      </c>
      <c r="C358" t="s">
        <v>8</v>
      </c>
      <c r="D358">
        <v>190</v>
      </c>
      <c r="E358">
        <v>987</v>
      </c>
      <c r="F358">
        <f>IF(Tradebook_2023_2026[[#This Row],[Trade Type]]="buy",-(Tradebook_2023_2026[[#This Row],[Quantity]]*Tradebook_2023_2026[[#This Row],[Price]]),(Tradebook_2023_2026[[#This Row],[Quantity]]*Tradebook_2023_2026[[#This Row],[Price]]))</f>
        <v>-187530</v>
      </c>
    </row>
    <row r="359" spans="1:6">
      <c r="A359" t="s">
        <v>43</v>
      </c>
      <c r="B359" s="1">
        <v>46111</v>
      </c>
      <c r="C359" t="s">
        <v>8</v>
      </c>
      <c r="D359">
        <v>110</v>
      </c>
      <c r="E359">
        <v>311.45</v>
      </c>
      <c r="F359">
        <f>IF(Tradebook_2023_2026[[#This Row],[Trade Type]]="buy",-(Tradebook_2023_2026[[#This Row],[Quantity]]*Tradebook_2023_2026[[#This Row],[Price]]),(Tradebook_2023_2026[[#This Row],[Quantity]]*Tradebook_2023_2026[[#This Row],[Price]]))</f>
        <v>-34259.5</v>
      </c>
    </row>
    <row r="360" spans="1:6">
      <c r="A360" t="s">
        <v>43</v>
      </c>
      <c r="B360" s="1">
        <v>46111</v>
      </c>
      <c r="C360" t="s">
        <v>8</v>
      </c>
      <c r="D360">
        <v>122</v>
      </c>
      <c r="E360">
        <v>311.5</v>
      </c>
      <c r="F360">
        <f>IF(Tradebook_2023_2026[[#This Row],[Trade Type]]="buy",-(Tradebook_2023_2026[[#This Row],[Quantity]]*Tradebook_2023_2026[[#This Row],[Price]]),(Tradebook_2023_2026[[#This Row],[Quantity]]*Tradebook_2023_2026[[#This Row],[Price]]))</f>
        <v>-38003</v>
      </c>
    </row>
    <row r="361" spans="1:6">
      <c r="A361" t="s">
        <v>43</v>
      </c>
      <c r="B361" s="1">
        <v>46111</v>
      </c>
      <c r="C361" t="s">
        <v>8</v>
      </c>
      <c r="D361">
        <v>3</v>
      </c>
      <c r="E361">
        <v>311.55</v>
      </c>
      <c r="F361">
        <f>IF(Tradebook_2023_2026[[#This Row],[Trade Type]]="buy",-(Tradebook_2023_2026[[#This Row],[Quantity]]*Tradebook_2023_2026[[#This Row],[Price]]),(Tradebook_2023_2026[[#This Row],[Quantity]]*Tradebook_2023_2026[[#This Row],[Price]]))</f>
        <v>-934.65000000000009</v>
      </c>
    </row>
    <row r="362" spans="1:6">
      <c r="A362" t="s">
        <v>59</v>
      </c>
      <c r="B362" s="1">
        <v>46111</v>
      </c>
      <c r="C362" t="s">
        <v>8</v>
      </c>
      <c r="D362">
        <v>1</v>
      </c>
      <c r="E362">
        <v>1367.9</v>
      </c>
      <c r="F362">
        <f>IF(Tradebook_2023_2026[[#This Row],[Trade Type]]="buy",-(Tradebook_2023_2026[[#This Row],[Quantity]]*Tradebook_2023_2026[[#This Row],[Price]]),(Tradebook_2023_2026[[#This Row],[Quantity]]*Tradebook_2023_2026[[#This Row],[Price]]))</f>
        <v>-1367.9</v>
      </c>
    </row>
    <row r="363" spans="1:6">
      <c r="A363" t="s">
        <v>59</v>
      </c>
      <c r="B363" s="1">
        <v>46111</v>
      </c>
      <c r="C363" t="s">
        <v>8</v>
      </c>
      <c r="D363">
        <v>27</v>
      </c>
      <c r="E363">
        <v>1368</v>
      </c>
      <c r="F363">
        <f>IF(Tradebook_2023_2026[[#This Row],[Trade Type]]="buy",-(Tradebook_2023_2026[[#This Row],[Quantity]]*Tradebook_2023_2026[[#This Row],[Price]]),(Tradebook_2023_2026[[#This Row],[Quantity]]*Tradebook_2023_2026[[#This Row],[Price]]))</f>
        <v>-36936</v>
      </c>
    </row>
    <row r="364" spans="1:6">
      <c r="A364" t="s">
        <v>59</v>
      </c>
      <c r="B364" s="1">
        <v>46111</v>
      </c>
      <c r="C364" t="s">
        <v>8</v>
      </c>
      <c r="D364">
        <v>72</v>
      </c>
      <c r="E364">
        <v>1368</v>
      </c>
      <c r="F364">
        <f>IF(Tradebook_2023_2026[[#This Row],[Trade Type]]="buy",-(Tradebook_2023_2026[[#This Row],[Quantity]]*Tradebook_2023_2026[[#This Row],[Price]]),(Tradebook_2023_2026[[#This Row],[Quantity]]*Tradebook_2023_2026[[#This Row],[Price]]))</f>
        <v>-98496</v>
      </c>
    </row>
    <row r="365" spans="1:6">
      <c r="A365" t="s">
        <v>61</v>
      </c>
      <c r="B365" s="1">
        <v>46111</v>
      </c>
      <c r="C365" t="s">
        <v>8</v>
      </c>
      <c r="D365">
        <v>220</v>
      </c>
      <c r="E365">
        <v>313</v>
      </c>
      <c r="F365">
        <f>IF(Tradebook_2023_2026[[#This Row],[Trade Type]]="buy",-(Tradebook_2023_2026[[#This Row],[Quantity]]*Tradebook_2023_2026[[#This Row],[Price]]),(Tradebook_2023_2026[[#This Row],[Quantity]]*Tradebook_2023_2026[[#This Row],[Price]]))</f>
        <v>-68860</v>
      </c>
    </row>
    <row r="366" spans="1:6">
      <c r="A366" t="s">
        <v>57</v>
      </c>
      <c r="B366" s="1">
        <v>46111</v>
      </c>
      <c r="C366" t="s">
        <v>8</v>
      </c>
      <c r="D366">
        <v>122</v>
      </c>
      <c r="E366">
        <v>209.99</v>
      </c>
      <c r="F366">
        <f>IF(Tradebook_2023_2026[[#This Row],[Trade Type]]="buy",-(Tradebook_2023_2026[[#This Row],[Quantity]]*Tradebook_2023_2026[[#This Row],[Price]]),(Tradebook_2023_2026[[#This Row],[Quantity]]*Tradebook_2023_2026[[#This Row],[Price]]))</f>
        <v>-25618.780000000002</v>
      </c>
    </row>
    <row r="367" spans="1:6">
      <c r="A367" t="s">
        <v>57</v>
      </c>
      <c r="B367" s="1">
        <v>46111</v>
      </c>
      <c r="C367" t="s">
        <v>8</v>
      </c>
      <c r="D367">
        <v>175</v>
      </c>
      <c r="E367">
        <v>210</v>
      </c>
      <c r="F367">
        <f>IF(Tradebook_2023_2026[[#This Row],[Trade Type]]="buy",-(Tradebook_2023_2026[[#This Row],[Quantity]]*Tradebook_2023_2026[[#This Row],[Price]]),(Tradebook_2023_2026[[#This Row],[Quantity]]*Tradebook_2023_2026[[#This Row],[Price]]))</f>
        <v>-36750</v>
      </c>
    </row>
    <row r="368" spans="1:6">
      <c r="A368" t="s">
        <v>57</v>
      </c>
      <c r="B368" s="1">
        <v>46111</v>
      </c>
      <c r="C368" t="s">
        <v>8</v>
      </c>
      <c r="D368">
        <v>22</v>
      </c>
      <c r="E368">
        <v>209.99</v>
      </c>
      <c r="F368">
        <f>IF(Tradebook_2023_2026[[#This Row],[Trade Type]]="buy",-(Tradebook_2023_2026[[#This Row],[Quantity]]*Tradebook_2023_2026[[#This Row],[Price]]),(Tradebook_2023_2026[[#This Row],[Quantity]]*Tradebook_2023_2026[[#This Row],[Price]]))</f>
        <v>-4619.7800000000007</v>
      </c>
    </row>
    <row r="369" spans="1:6">
      <c r="A369" t="s">
        <v>57</v>
      </c>
      <c r="B369" s="1">
        <v>46111</v>
      </c>
      <c r="C369" t="s">
        <v>8</v>
      </c>
      <c r="D369">
        <v>81</v>
      </c>
      <c r="E369">
        <v>209.99</v>
      </c>
      <c r="F369">
        <f>IF(Tradebook_2023_2026[[#This Row],[Trade Type]]="buy",-(Tradebook_2023_2026[[#This Row],[Quantity]]*Tradebook_2023_2026[[#This Row],[Price]]),(Tradebook_2023_2026[[#This Row],[Quantity]]*Tradebook_2023_2026[[#This Row],[Price]]))</f>
        <v>-17009.190000000002</v>
      </c>
    </row>
    <row r="370" spans="1:6">
      <c r="A370" t="s">
        <v>58</v>
      </c>
      <c r="B370" s="1">
        <v>46111</v>
      </c>
      <c r="C370" t="s">
        <v>8</v>
      </c>
      <c r="D370">
        <v>627</v>
      </c>
      <c r="E370">
        <v>1107</v>
      </c>
      <c r="F370">
        <f>IF(Tradebook_2023_2026[[#This Row],[Trade Type]]="buy",-(Tradebook_2023_2026[[#This Row],[Quantity]]*Tradebook_2023_2026[[#This Row],[Price]]),(Tradebook_2023_2026[[#This Row],[Quantity]]*Tradebook_2023_2026[[#This Row],[Price]]))</f>
        <v>-694089</v>
      </c>
    </row>
    <row r="371" spans="1:6">
      <c r="A371" t="s">
        <v>58</v>
      </c>
      <c r="B371" s="1">
        <v>46111</v>
      </c>
      <c r="C371" t="s">
        <v>6</v>
      </c>
      <c r="D371">
        <v>101</v>
      </c>
      <c r="E371">
        <v>1107</v>
      </c>
      <c r="F371">
        <f>IF(Tradebook_2023_2026[[#This Row],[Trade Type]]="buy",-(Tradebook_2023_2026[[#This Row],[Quantity]]*Tradebook_2023_2026[[#This Row],[Price]]),(Tradebook_2023_2026[[#This Row],[Quantity]]*Tradebook_2023_2026[[#This Row],[Price]]))</f>
        <v>111807</v>
      </c>
    </row>
    <row r="372" spans="1:6">
      <c r="A372" t="s">
        <v>58</v>
      </c>
      <c r="B372" s="1">
        <v>46111</v>
      </c>
      <c r="C372" t="s">
        <v>6</v>
      </c>
      <c r="D372">
        <v>451</v>
      </c>
      <c r="E372">
        <v>1107</v>
      </c>
      <c r="F372">
        <f>IF(Tradebook_2023_2026[[#This Row],[Trade Type]]="buy",-(Tradebook_2023_2026[[#This Row],[Quantity]]*Tradebook_2023_2026[[#This Row],[Price]]),(Tradebook_2023_2026[[#This Row],[Quantity]]*Tradebook_2023_2026[[#This Row],[Price]]))</f>
        <v>499257</v>
      </c>
    </row>
    <row r="373" spans="1:6">
      <c r="A373" t="s">
        <v>58</v>
      </c>
      <c r="B373" s="1">
        <v>46111</v>
      </c>
      <c r="C373" t="s">
        <v>6</v>
      </c>
      <c r="D373">
        <v>75</v>
      </c>
      <c r="E373">
        <v>1107</v>
      </c>
      <c r="F373">
        <f>IF(Tradebook_2023_2026[[#This Row],[Trade Type]]="buy",-(Tradebook_2023_2026[[#This Row],[Quantity]]*Tradebook_2023_2026[[#This Row],[Price]]),(Tradebook_2023_2026[[#This Row],[Quantity]]*Tradebook_2023_2026[[#This Row],[Price]]))</f>
        <v>83025</v>
      </c>
    </row>
    <row r="374" spans="1:6">
      <c r="A374" t="s">
        <v>15</v>
      </c>
      <c r="B374" s="1">
        <v>46111</v>
      </c>
      <c r="C374" t="s">
        <v>6</v>
      </c>
      <c r="D374">
        <v>7</v>
      </c>
      <c r="E374">
        <v>3519</v>
      </c>
      <c r="F374">
        <f>IF(Tradebook_2023_2026[[#This Row],[Trade Type]]="buy",-(Tradebook_2023_2026[[#This Row],[Quantity]]*Tradebook_2023_2026[[#This Row],[Price]]),(Tradebook_2023_2026[[#This Row],[Quantity]]*Tradebook_2023_2026[[#This Row],[Price]]))</f>
        <v>24633</v>
      </c>
    </row>
    <row r="375" spans="1:6">
      <c r="A375" t="s">
        <v>15</v>
      </c>
      <c r="B375" s="1">
        <v>46111</v>
      </c>
      <c r="C375" t="s">
        <v>6</v>
      </c>
      <c r="D375">
        <v>13</v>
      </c>
      <c r="E375">
        <v>3518.8998999999999</v>
      </c>
      <c r="F375">
        <f>IF(Tradebook_2023_2026[[#This Row],[Trade Type]]="buy",-(Tradebook_2023_2026[[#This Row],[Quantity]]*Tradebook_2023_2026[[#This Row],[Price]]),(Tradebook_2023_2026[[#This Row],[Quantity]]*Tradebook_2023_2026[[#This Row],[Price]]))</f>
        <v>45745.698700000001</v>
      </c>
    </row>
    <row r="376" spans="1:6">
      <c r="A376" t="s">
        <v>15</v>
      </c>
      <c r="B376" s="1">
        <v>46111</v>
      </c>
      <c r="C376" t="s">
        <v>6</v>
      </c>
      <c r="D376">
        <v>14</v>
      </c>
      <c r="E376">
        <v>3518.7</v>
      </c>
      <c r="F376">
        <f>IF(Tradebook_2023_2026[[#This Row],[Trade Type]]="buy",-(Tradebook_2023_2026[[#This Row],[Quantity]]*Tradebook_2023_2026[[#This Row],[Price]]),(Tradebook_2023_2026[[#This Row],[Quantity]]*Tradebook_2023_2026[[#This Row],[Price]]))</f>
        <v>49261.799999999996</v>
      </c>
    </row>
    <row r="377" spans="1:6">
      <c r="A377" t="s">
        <v>15</v>
      </c>
      <c r="B377" s="1">
        <v>46111</v>
      </c>
      <c r="C377" t="s">
        <v>6</v>
      </c>
      <c r="D377">
        <v>15</v>
      </c>
      <c r="E377">
        <v>3518.7</v>
      </c>
      <c r="F377">
        <f>IF(Tradebook_2023_2026[[#This Row],[Trade Type]]="buy",-(Tradebook_2023_2026[[#This Row],[Quantity]]*Tradebook_2023_2026[[#This Row],[Price]]),(Tradebook_2023_2026[[#This Row],[Quantity]]*Tradebook_2023_2026[[#This Row],[Price]]))</f>
        <v>52780.5</v>
      </c>
    </row>
    <row r="378" spans="1:6">
      <c r="A378" t="s">
        <v>15</v>
      </c>
      <c r="B378" s="1">
        <v>46111</v>
      </c>
      <c r="C378" t="s">
        <v>6</v>
      </c>
      <c r="D378">
        <v>15</v>
      </c>
      <c r="E378">
        <v>3518.7</v>
      </c>
      <c r="F378">
        <f>IF(Tradebook_2023_2026[[#This Row],[Trade Type]]="buy",-(Tradebook_2023_2026[[#This Row],[Quantity]]*Tradebook_2023_2026[[#This Row],[Price]]),(Tradebook_2023_2026[[#This Row],[Quantity]]*Tradebook_2023_2026[[#This Row],[Price]]))</f>
        <v>52780.5</v>
      </c>
    </row>
    <row r="379" spans="1:6">
      <c r="A379" t="s">
        <v>15</v>
      </c>
      <c r="B379" s="1">
        <v>46111</v>
      </c>
      <c r="C379" t="s">
        <v>6</v>
      </c>
      <c r="D379">
        <v>24</v>
      </c>
      <c r="E379">
        <v>3518.7</v>
      </c>
      <c r="F379">
        <f>IF(Tradebook_2023_2026[[#This Row],[Trade Type]]="buy",-(Tradebook_2023_2026[[#This Row],[Quantity]]*Tradebook_2023_2026[[#This Row],[Price]]),(Tradebook_2023_2026[[#This Row],[Quantity]]*Tradebook_2023_2026[[#This Row],[Price]]))</f>
        <v>84448.799999999988</v>
      </c>
    </row>
    <row r="380" spans="1:6">
      <c r="A380" t="s">
        <v>15</v>
      </c>
      <c r="B380" s="1">
        <v>46111</v>
      </c>
      <c r="C380" t="s">
        <v>6</v>
      </c>
      <c r="D380">
        <v>30</v>
      </c>
      <c r="E380">
        <v>3519.1001000000001</v>
      </c>
      <c r="F380">
        <f>IF(Tradebook_2023_2026[[#This Row],[Trade Type]]="buy",-(Tradebook_2023_2026[[#This Row],[Quantity]]*Tradebook_2023_2026[[#This Row],[Price]]),(Tradebook_2023_2026[[#This Row],[Quantity]]*Tradebook_2023_2026[[#This Row],[Price]]))</f>
        <v>105573.003</v>
      </c>
    </row>
    <row r="381" spans="1:6">
      <c r="A381" t="s">
        <v>15</v>
      </c>
      <c r="B381" s="1">
        <v>46111</v>
      </c>
      <c r="C381" t="s">
        <v>6</v>
      </c>
      <c r="D381">
        <v>51</v>
      </c>
      <c r="E381">
        <v>3518.7</v>
      </c>
      <c r="F381">
        <f>IF(Tradebook_2023_2026[[#This Row],[Trade Type]]="buy",-(Tradebook_2023_2026[[#This Row],[Quantity]]*Tradebook_2023_2026[[#This Row],[Price]]),(Tradebook_2023_2026[[#This Row],[Quantity]]*Tradebook_2023_2026[[#This Row],[Price]]))</f>
        <v>179453.69999999998</v>
      </c>
    </row>
    <row r="382" spans="1:6">
      <c r="A382" t="s">
        <v>15</v>
      </c>
      <c r="B382" s="1">
        <v>46111</v>
      </c>
      <c r="C382" t="s">
        <v>6</v>
      </c>
      <c r="D382">
        <v>5</v>
      </c>
      <c r="E382">
        <v>3518.7</v>
      </c>
      <c r="F382">
        <f>IF(Tradebook_2023_2026[[#This Row],[Trade Type]]="buy",-(Tradebook_2023_2026[[#This Row],[Quantity]]*Tradebook_2023_2026[[#This Row],[Price]]),(Tradebook_2023_2026[[#This Row],[Quantity]]*Tradebook_2023_2026[[#This Row],[Price]]))</f>
        <v>17593.5</v>
      </c>
    </row>
    <row r="383" spans="1:6">
      <c r="A383" t="s">
        <v>15</v>
      </c>
      <c r="B383" s="1">
        <v>46111</v>
      </c>
      <c r="C383" t="s">
        <v>6</v>
      </c>
      <c r="D383">
        <v>5</v>
      </c>
      <c r="E383">
        <v>3518.8</v>
      </c>
      <c r="F383">
        <f>IF(Tradebook_2023_2026[[#This Row],[Trade Type]]="buy",-(Tradebook_2023_2026[[#This Row],[Quantity]]*Tradebook_2023_2026[[#This Row],[Price]]),(Tradebook_2023_2026[[#This Row],[Quantity]]*Tradebook_2023_2026[[#This Row],[Price]]))</f>
        <v>17594</v>
      </c>
    </row>
    <row r="384" spans="1:6">
      <c r="A384" t="s">
        <v>15</v>
      </c>
      <c r="B384" s="1">
        <v>46111</v>
      </c>
      <c r="C384" t="s">
        <v>6</v>
      </c>
      <c r="D384">
        <v>6</v>
      </c>
      <c r="E384">
        <v>3519</v>
      </c>
      <c r="F384">
        <f>IF(Tradebook_2023_2026[[#This Row],[Trade Type]]="buy",-(Tradebook_2023_2026[[#This Row],[Quantity]]*Tradebook_2023_2026[[#This Row],[Price]]),(Tradebook_2023_2026[[#This Row],[Quantity]]*Tradebook_2023_2026[[#This Row],[Price]]))</f>
        <v>21114</v>
      </c>
    </row>
    <row r="385" spans="1:6">
      <c r="A385" t="s">
        <v>15</v>
      </c>
      <c r="B385" s="1">
        <v>46111</v>
      </c>
      <c r="C385" t="s">
        <v>6</v>
      </c>
      <c r="D385">
        <v>7</v>
      </c>
      <c r="E385">
        <v>3519</v>
      </c>
      <c r="F385">
        <f>IF(Tradebook_2023_2026[[#This Row],[Trade Type]]="buy",-(Tradebook_2023_2026[[#This Row],[Quantity]]*Tradebook_2023_2026[[#This Row],[Price]]),(Tradebook_2023_2026[[#This Row],[Quantity]]*Tradebook_2023_2026[[#This Row],[Price]]))</f>
        <v>24633</v>
      </c>
    </row>
    <row r="386" spans="1:6">
      <c r="A386" t="s">
        <v>15</v>
      </c>
      <c r="B386" s="1">
        <v>46111</v>
      </c>
      <c r="C386" t="s">
        <v>6</v>
      </c>
      <c r="D386">
        <v>11</v>
      </c>
      <c r="E386">
        <v>3518.7</v>
      </c>
      <c r="F386">
        <f>IF(Tradebook_2023_2026[[#This Row],[Trade Type]]="buy",-(Tradebook_2023_2026[[#This Row],[Quantity]]*Tradebook_2023_2026[[#This Row],[Price]]),(Tradebook_2023_2026[[#This Row],[Quantity]]*Tradebook_2023_2026[[#This Row],[Price]]))</f>
        <v>38705.699999999997</v>
      </c>
    </row>
    <row r="387" spans="1:6">
      <c r="A387" t="s">
        <v>15</v>
      </c>
      <c r="B387" s="1">
        <v>46111</v>
      </c>
      <c r="C387" t="s">
        <v>6</v>
      </c>
      <c r="D387">
        <v>9</v>
      </c>
      <c r="E387">
        <v>3518.7</v>
      </c>
      <c r="F387">
        <f>IF(Tradebook_2023_2026[[#This Row],[Trade Type]]="buy",-(Tradebook_2023_2026[[#This Row],[Quantity]]*Tradebook_2023_2026[[#This Row],[Price]]),(Tradebook_2023_2026[[#This Row],[Quantity]]*Tradebook_2023_2026[[#This Row],[Price]]))</f>
        <v>31668.3</v>
      </c>
    </row>
    <row r="388" spans="1:6">
      <c r="A388" t="s">
        <v>15</v>
      </c>
      <c r="B388" s="1">
        <v>46111</v>
      </c>
      <c r="C388" t="s">
        <v>6</v>
      </c>
      <c r="D388">
        <v>9</v>
      </c>
      <c r="E388">
        <v>3519.1001000000001</v>
      </c>
      <c r="F388">
        <f>IF(Tradebook_2023_2026[[#This Row],[Trade Type]]="buy",-(Tradebook_2023_2026[[#This Row],[Quantity]]*Tradebook_2023_2026[[#This Row],[Price]]),(Tradebook_2023_2026[[#This Row],[Quantity]]*Tradebook_2023_2026[[#This Row],[Price]]))</f>
        <v>31671.900900000001</v>
      </c>
    </row>
    <row r="389" spans="1:6">
      <c r="A389" t="s">
        <v>15</v>
      </c>
      <c r="B389" s="1">
        <v>46111</v>
      </c>
      <c r="C389" t="s">
        <v>6</v>
      </c>
      <c r="D389">
        <v>9</v>
      </c>
      <c r="E389">
        <v>3519.1001000000001</v>
      </c>
      <c r="F389">
        <f>IF(Tradebook_2023_2026[[#This Row],[Trade Type]]="buy",-(Tradebook_2023_2026[[#This Row],[Quantity]]*Tradebook_2023_2026[[#This Row],[Price]]),(Tradebook_2023_2026[[#This Row],[Quantity]]*Tradebook_2023_2026[[#This Row],[Price]]))</f>
        <v>31671.900900000001</v>
      </c>
    </row>
    <row r="390" spans="1:6">
      <c r="A390" t="s">
        <v>15</v>
      </c>
      <c r="B390" s="1">
        <v>46111</v>
      </c>
      <c r="C390" t="s">
        <v>8</v>
      </c>
      <c r="D390">
        <v>178</v>
      </c>
      <c r="E390">
        <v>3502.8998999999999</v>
      </c>
      <c r="F390">
        <f>IF(Tradebook_2023_2026[[#This Row],[Trade Type]]="buy",-(Tradebook_2023_2026[[#This Row],[Quantity]]*Tradebook_2023_2026[[#This Row],[Price]]),(Tradebook_2023_2026[[#This Row],[Quantity]]*Tradebook_2023_2026[[#This Row],[Price]]))</f>
        <v>-623516.18219999992</v>
      </c>
    </row>
    <row r="391" spans="1:6">
      <c r="A391" t="s">
        <v>15</v>
      </c>
      <c r="B391" s="1">
        <v>46111</v>
      </c>
      <c r="C391" t="s">
        <v>8</v>
      </c>
      <c r="D391">
        <v>4</v>
      </c>
      <c r="E391">
        <v>3503</v>
      </c>
      <c r="F391">
        <f>IF(Tradebook_2023_2026[[#This Row],[Trade Type]]="buy",-(Tradebook_2023_2026[[#This Row],[Quantity]]*Tradebook_2023_2026[[#This Row],[Price]]),(Tradebook_2023_2026[[#This Row],[Quantity]]*Tradebook_2023_2026[[#This Row],[Price]]))</f>
        <v>-14012</v>
      </c>
    </row>
    <row r="392" spans="1:6">
      <c r="A392" t="s">
        <v>15</v>
      </c>
      <c r="B392" s="1">
        <v>46111</v>
      </c>
      <c r="C392" t="s">
        <v>8</v>
      </c>
      <c r="D392">
        <v>48</v>
      </c>
      <c r="E392">
        <v>3503</v>
      </c>
      <c r="F392">
        <f>IF(Tradebook_2023_2026[[#This Row],[Trade Type]]="buy",-(Tradebook_2023_2026[[#This Row],[Quantity]]*Tradebook_2023_2026[[#This Row],[Price]]),(Tradebook_2023_2026[[#This Row],[Quantity]]*Tradebook_2023_2026[[#This Row],[Price]]))</f>
        <v>-168144</v>
      </c>
    </row>
    <row r="393" spans="1:6">
      <c r="A393" t="s">
        <v>45</v>
      </c>
      <c r="B393" s="1">
        <v>46111</v>
      </c>
      <c r="C393" t="s">
        <v>8</v>
      </c>
      <c r="D393">
        <v>30</v>
      </c>
      <c r="E393">
        <v>1200</v>
      </c>
      <c r="F393">
        <f>IF(Tradebook_2023_2026[[#This Row],[Trade Type]]="buy",-(Tradebook_2023_2026[[#This Row],[Quantity]]*Tradebook_2023_2026[[#This Row],[Price]]),(Tradebook_2023_2026[[#This Row],[Quantity]]*Tradebook_2023_2026[[#This Row],[Price]]))</f>
        <v>-36000</v>
      </c>
    </row>
    <row r="394" spans="1:6">
      <c r="A394" t="s">
        <v>45</v>
      </c>
      <c r="B394" s="1">
        <v>46111</v>
      </c>
      <c r="C394" t="s">
        <v>8</v>
      </c>
      <c r="D394">
        <v>192</v>
      </c>
      <c r="E394">
        <v>1200</v>
      </c>
      <c r="F394">
        <f>IF(Tradebook_2023_2026[[#This Row],[Trade Type]]="buy",-(Tradebook_2023_2026[[#This Row],[Quantity]]*Tradebook_2023_2026[[#This Row],[Price]]),(Tradebook_2023_2026[[#This Row],[Quantity]]*Tradebook_2023_2026[[#This Row],[Price]]))</f>
        <v>-230400</v>
      </c>
    </row>
    <row r="395" spans="1:6">
      <c r="A395" t="s">
        <v>45</v>
      </c>
      <c r="B395" s="1">
        <v>46111</v>
      </c>
      <c r="C395" t="s">
        <v>8</v>
      </c>
      <c r="D395">
        <v>5</v>
      </c>
      <c r="E395">
        <v>1200</v>
      </c>
      <c r="F395">
        <f>IF(Tradebook_2023_2026[[#This Row],[Trade Type]]="buy",-(Tradebook_2023_2026[[#This Row],[Quantity]]*Tradebook_2023_2026[[#This Row],[Price]]),(Tradebook_2023_2026[[#This Row],[Quantity]]*Tradebook_2023_2026[[#This Row],[Price]]))</f>
        <v>-6000</v>
      </c>
    </row>
    <row r="396" spans="1:6">
      <c r="A396" t="s">
        <v>45</v>
      </c>
      <c r="B396" s="1">
        <v>46111</v>
      </c>
      <c r="C396" t="s">
        <v>8</v>
      </c>
      <c r="D396">
        <v>5</v>
      </c>
      <c r="E396">
        <v>1200</v>
      </c>
      <c r="F396">
        <f>IF(Tradebook_2023_2026[[#This Row],[Trade Type]]="buy",-(Tradebook_2023_2026[[#This Row],[Quantity]]*Tradebook_2023_2026[[#This Row],[Price]]),(Tradebook_2023_2026[[#This Row],[Quantity]]*Tradebook_2023_2026[[#This Row],[Price]]))</f>
        <v>-6000</v>
      </c>
    </row>
    <row r="397" spans="1:6">
      <c r="A397" t="s">
        <v>45</v>
      </c>
      <c r="B397" s="1">
        <v>46111</v>
      </c>
      <c r="C397" t="s">
        <v>8</v>
      </c>
      <c r="D397">
        <v>8</v>
      </c>
      <c r="E397">
        <v>1200</v>
      </c>
      <c r="F397">
        <f>IF(Tradebook_2023_2026[[#This Row],[Trade Type]]="buy",-(Tradebook_2023_2026[[#This Row],[Quantity]]*Tradebook_2023_2026[[#This Row],[Price]]),(Tradebook_2023_2026[[#This Row],[Quantity]]*Tradebook_2023_2026[[#This Row],[Price]]))</f>
        <v>-9600</v>
      </c>
    </row>
    <row r="398" spans="1:6">
      <c r="A398" t="s">
        <v>45</v>
      </c>
      <c r="B398" s="1">
        <v>46111</v>
      </c>
      <c r="C398" t="s">
        <v>8</v>
      </c>
      <c r="D398">
        <v>8</v>
      </c>
      <c r="E398">
        <v>1200</v>
      </c>
      <c r="F398">
        <f>IF(Tradebook_2023_2026[[#This Row],[Trade Type]]="buy",-(Tradebook_2023_2026[[#This Row],[Quantity]]*Tradebook_2023_2026[[#This Row],[Price]]),(Tradebook_2023_2026[[#This Row],[Quantity]]*Tradebook_2023_2026[[#This Row],[Price]]))</f>
        <v>-9600</v>
      </c>
    </row>
    <row r="399" spans="1:6">
      <c r="A399" t="s">
        <v>45</v>
      </c>
      <c r="B399" s="1">
        <v>46111</v>
      </c>
      <c r="C399" t="s">
        <v>8</v>
      </c>
      <c r="D399">
        <v>9</v>
      </c>
      <c r="E399">
        <v>1200</v>
      </c>
      <c r="F399">
        <f>IF(Tradebook_2023_2026[[#This Row],[Trade Type]]="buy",-(Tradebook_2023_2026[[#This Row],[Quantity]]*Tradebook_2023_2026[[#This Row],[Price]]),(Tradebook_2023_2026[[#This Row],[Quantity]]*Tradebook_2023_2026[[#This Row],[Price]]))</f>
        <v>-10800</v>
      </c>
    </row>
    <row r="400" spans="1:6">
      <c r="A400" t="s">
        <v>45</v>
      </c>
      <c r="B400" s="1">
        <v>46111</v>
      </c>
      <c r="C400" t="s">
        <v>8</v>
      </c>
      <c r="D400">
        <v>9</v>
      </c>
      <c r="E400">
        <v>1200</v>
      </c>
      <c r="F400">
        <f>IF(Tradebook_2023_2026[[#This Row],[Trade Type]]="buy",-(Tradebook_2023_2026[[#This Row],[Quantity]]*Tradebook_2023_2026[[#This Row],[Price]]),(Tradebook_2023_2026[[#This Row],[Quantity]]*Tradebook_2023_2026[[#This Row],[Price]]))</f>
        <v>-10800</v>
      </c>
    </row>
    <row r="401" spans="1:6">
      <c r="A401" t="s">
        <v>45</v>
      </c>
      <c r="B401" s="1">
        <v>46111</v>
      </c>
      <c r="C401" t="s">
        <v>8</v>
      </c>
      <c r="D401">
        <v>9</v>
      </c>
      <c r="E401">
        <v>1200</v>
      </c>
      <c r="F401">
        <f>IF(Tradebook_2023_2026[[#This Row],[Trade Type]]="buy",-(Tradebook_2023_2026[[#This Row],[Quantity]]*Tradebook_2023_2026[[#This Row],[Price]]),(Tradebook_2023_2026[[#This Row],[Quantity]]*Tradebook_2023_2026[[#This Row],[Price]]))</f>
        <v>-10800</v>
      </c>
    </row>
    <row r="402" spans="1:6">
      <c r="A402" t="s">
        <v>62</v>
      </c>
      <c r="B402" s="1">
        <v>46111</v>
      </c>
      <c r="C402" t="s">
        <v>8</v>
      </c>
      <c r="D402">
        <v>10320</v>
      </c>
      <c r="E402">
        <v>10.3</v>
      </c>
      <c r="F402">
        <f>IF(Tradebook_2023_2026[[#This Row],[Trade Type]]="buy",-(Tradebook_2023_2026[[#This Row],[Quantity]]*Tradebook_2023_2026[[#This Row],[Price]]),(Tradebook_2023_2026[[#This Row],[Quantity]]*Tradebook_2023_2026[[#This Row],[Price]]))</f>
        <v>-106296.00000000001</v>
      </c>
    </row>
    <row r="403" spans="1:6">
      <c r="A403" t="s">
        <v>62</v>
      </c>
      <c r="B403" s="1">
        <v>46111</v>
      </c>
      <c r="C403" t="s">
        <v>8</v>
      </c>
      <c r="D403">
        <v>4680</v>
      </c>
      <c r="E403">
        <v>10.3</v>
      </c>
      <c r="F403">
        <f>IF(Tradebook_2023_2026[[#This Row],[Trade Type]]="buy",-(Tradebook_2023_2026[[#This Row],[Quantity]]*Tradebook_2023_2026[[#This Row],[Price]]),(Tradebook_2023_2026[[#This Row],[Quantity]]*Tradebook_2023_2026[[#This Row],[Price]]))</f>
        <v>-48204</v>
      </c>
    </row>
    <row r="404" spans="1:6">
      <c r="A404" t="s">
        <v>63</v>
      </c>
      <c r="B404" s="1">
        <v>46111</v>
      </c>
      <c r="C404" t="s">
        <v>8</v>
      </c>
      <c r="D404">
        <v>800</v>
      </c>
      <c r="E404">
        <v>295</v>
      </c>
      <c r="F404">
        <f>IF(Tradebook_2023_2026[[#This Row],[Trade Type]]="buy",-(Tradebook_2023_2026[[#This Row],[Quantity]]*Tradebook_2023_2026[[#This Row],[Price]]),(Tradebook_2023_2026[[#This Row],[Quantity]]*Tradebook_2023_2026[[#This Row],[Price]]))</f>
        <v>-236000</v>
      </c>
    </row>
    <row r="405" spans="1:6">
      <c r="A405" t="s">
        <v>42</v>
      </c>
      <c r="B405" s="1">
        <v>46111</v>
      </c>
      <c r="C405" t="s">
        <v>8</v>
      </c>
      <c r="D405">
        <v>1</v>
      </c>
      <c r="E405">
        <v>428.6</v>
      </c>
      <c r="F405">
        <f>IF(Tradebook_2023_2026[[#This Row],[Trade Type]]="buy",-(Tradebook_2023_2026[[#This Row],[Quantity]]*Tradebook_2023_2026[[#This Row],[Price]]),(Tradebook_2023_2026[[#This Row],[Quantity]]*Tradebook_2023_2026[[#This Row],[Price]]))</f>
        <v>-428.6</v>
      </c>
    </row>
    <row r="406" spans="1:6">
      <c r="A406" t="s">
        <v>42</v>
      </c>
      <c r="B406" s="1">
        <v>46111</v>
      </c>
      <c r="C406" t="s">
        <v>8</v>
      </c>
      <c r="D406">
        <v>1</v>
      </c>
      <c r="E406">
        <v>428.6</v>
      </c>
      <c r="F406">
        <f>IF(Tradebook_2023_2026[[#This Row],[Trade Type]]="buy",-(Tradebook_2023_2026[[#This Row],[Quantity]]*Tradebook_2023_2026[[#This Row],[Price]]),(Tradebook_2023_2026[[#This Row],[Quantity]]*Tradebook_2023_2026[[#This Row],[Price]]))</f>
        <v>-428.6</v>
      </c>
    </row>
    <row r="407" spans="1:6">
      <c r="A407" t="s">
        <v>42</v>
      </c>
      <c r="B407" s="1">
        <v>46111</v>
      </c>
      <c r="C407" t="s">
        <v>8</v>
      </c>
      <c r="D407">
        <v>1</v>
      </c>
      <c r="E407">
        <v>428.6</v>
      </c>
      <c r="F407">
        <f>IF(Tradebook_2023_2026[[#This Row],[Trade Type]]="buy",-(Tradebook_2023_2026[[#This Row],[Quantity]]*Tradebook_2023_2026[[#This Row],[Price]]),(Tradebook_2023_2026[[#This Row],[Quantity]]*Tradebook_2023_2026[[#This Row],[Price]]))</f>
        <v>-428.6</v>
      </c>
    </row>
    <row r="408" spans="1:6">
      <c r="A408" t="s">
        <v>42</v>
      </c>
      <c r="B408" s="1">
        <v>46111</v>
      </c>
      <c r="C408" t="s">
        <v>8</v>
      </c>
      <c r="D408">
        <v>1</v>
      </c>
      <c r="E408">
        <v>428.6</v>
      </c>
      <c r="F408">
        <f>IF(Tradebook_2023_2026[[#This Row],[Trade Type]]="buy",-(Tradebook_2023_2026[[#This Row],[Quantity]]*Tradebook_2023_2026[[#This Row],[Price]]),(Tradebook_2023_2026[[#This Row],[Quantity]]*Tradebook_2023_2026[[#This Row],[Price]]))</f>
        <v>-428.6</v>
      </c>
    </row>
    <row r="409" spans="1:6">
      <c r="A409" t="s">
        <v>42</v>
      </c>
      <c r="B409" s="1">
        <v>46111</v>
      </c>
      <c r="C409" t="s">
        <v>8</v>
      </c>
      <c r="D409">
        <v>14</v>
      </c>
      <c r="E409">
        <v>428.6</v>
      </c>
      <c r="F409">
        <f>IF(Tradebook_2023_2026[[#This Row],[Trade Type]]="buy",-(Tradebook_2023_2026[[#This Row],[Quantity]]*Tradebook_2023_2026[[#This Row],[Price]]),(Tradebook_2023_2026[[#This Row],[Quantity]]*Tradebook_2023_2026[[#This Row],[Price]]))</f>
        <v>-6000.4000000000005</v>
      </c>
    </row>
    <row r="410" spans="1:6">
      <c r="A410" t="s">
        <v>42</v>
      </c>
      <c r="B410" s="1">
        <v>46111</v>
      </c>
      <c r="C410" t="s">
        <v>8</v>
      </c>
      <c r="D410">
        <v>82</v>
      </c>
      <c r="E410">
        <v>428.6</v>
      </c>
      <c r="F410">
        <f>IF(Tradebook_2023_2026[[#This Row],[Trade Type]]="buy",-(Tradebook_2023_2026[[#This Row],[Quantity]]*Tradebook_2023_2026[[#This Row],[Price]]),(Tradebook_2023_2026[[#This Row],[Quantity]]*Tradebook_2023_2026[[#This Row],[Price]]))</f>
        <v>-35145.200000000004</v>
      </c>
    </row>
    <row r="411" spans="1:6">
      <c r="A411" t="s">
        <v>64</v>
      </c>
      <c r="B411" s="1">
        <v>46111</v>
      </c>
      <c r="C411" t="s">
        <v>8</v>
      </c>
      <c r="D411">
        <v>465</v>
      </c>
      <c r="E411">
        <v>12</v>
      </c>
      <c r="F411">
        <f>IF(Tradebook_2023_2026[[#This Row],[Trade Type]]="buy",-(Tradebook_2023_2026[[#This Row],[Quantity]]*Tradebook_2023_2026[[#This Row],[Price]]),(Tradebook_2023_2026[[#This Row],[Quantity]]*Tradebook_2023_2026[[#This Row],[Price]]))</f>
        <v>-5580</v>
      </c>
    </row>
    <row r="412" spans="1:6">
      <c r="A412" t="s">
        <v>64</v>
      </c>
      <c r="B412" s="1">
        <v>46111</v>
      </c>
      <c r="C412" t="s">
        <v>8</v>
      </c>
      <c r="D412">
        <v>835</v>
      </c>
      <c r="E412">
        <v>11.5</v>
      </c>
      <c r="F412">
        <f>IF(Tradebook_2023_2026[[#This Row],[Trade Type]]="buy",-(Tradebook_2023_2026[[#This Row],[Quantity]]*Tradebook_2023_2026[[#This Row],[Price]]),(Tradebook_2023_2026[[#This Row],[Quantity]]*Tradebook_2023_2026[[#This Row],[Price]]))</f>
        <v>-9602.5</v>
      </c>
    </row>
    <row r="413" spans="1:6">
      <c r="A413" t="s">
        <v>45</v>
      </c>
      <c r="B413" s="1">
        <v>46111</v>
      </c>
      <c r="C413" t="s">
        <v>8</v>
      </c>
      <c r="D413">
        <v>175</v>
      </c>
      <c r="E413">
        <v>1180</v>
      </c>
      <c r="F413">
        <f>IF(Tradebook_2023_2026[[#This Row],[Trade Type]]="buy",-(Tradebook_2023_2026[[#This Row],[Quantity]]*Tradebook_2023_2026[[#This Row],[Price]]),(Tradebook_2023_2026[[#This Row],[Quantity]]*Tradebook_2023_2026[[#This Row],[Price]]))</f>
        <v>-206500</v>
      </c>
    </row>
    <row r="414" spans="1:6">
      <c r="A414" t="s">
        <v>65</v>
      </c>
      <c r="B414" s="1">
        <v>45026</v>
      </c>
      <c r="C414" t="s">
        <v>6</v>
      </c>
      <c r="D414">
        <v>32</v>
      </c>
      <c r="E414">
        <v>515</v>
      </c>
      <c r="F414">
        <f>IF(Tradebook_2023_2026[[#This Row],[Trade Type]]="buy",-(Tradebook_2023_2026[[#This Row],[Quantity]]*Tradebook_2023_2026[[#This Row],[Price]]),(Tradebook_2023_2026[[#This Row],[Quantity]]*Tradebook_2023_2026[[#This Row],[Price]]))</f>
        <v>16480</v>
      </c>
    </row>
    <row r="415" spans="1:6">
      <c r="A415" t="s">
        <v>66</v>
      </c>
      <c r="B415" s="1">
        <v>45026</v>
      </c>
      <c r="C415" t="s">
        <v>6</v>
      </c>
      <c r="D415">
        <v>20</v>
      </c>
      <c r="E415">
        <v>452</v>
      </c>
      <c r="F415">
        <f>IF(Tradebook_2023_2026[[#This Row],[Trade Type]]="buy",-(Tradebook_2023_2026[[#This Row],[Quantity]]*Tradebook_2023_2026[[#This Row],[Price]]),(Tradebook_2023_2026[[#This Row],[Quantity]]*Tradebook_2023_2026[[#This Row],[Price]]))</f>
        <v>9040</v>
      </c>
    </row>
    <row r="416" spans="1:6">
      <c r="A416" t="s">
        <v>67</v>
      </c>
      <c r="B416" s="1">
        <v>45026</v>
      </c>
      <c r="C416" t="s">
        <v>8</v>
      </c>
      <c r="D416">
        <v>40</v>
      </c>
      <c r="E416">
        <v>116</v>
      </c>
      <c r="F416">
        <f>IF(Tradebook_2023_2026[[#This Row],[Trade Type]]="buy",-(Tradebook_2023_2026[[#This Row],[Quantity]]*Tradebook_2023_2026[[#This Row],[Price]]),(Tradebook_2023_2026[[#This Row],[Quantity]]*Tradebook_2023_2026[[#This Row],[Price]]))</f>
        <v>-4640</v>
      </c>
    </row>
    <row r="417" spans="1:6">
      <c r="A417" t="s">
        <v>68</v>
      </c>
      <c r="B417" s="1">
        <v>45028</v>
      </c>
      <c r="C417" t="s">
        <v>6</v>
      </c>
      <c r="D417">
        <v>144</v>
      </c>
      <c r="E417">
        <v>51</v>
      </c>
      <c r="F417">
        <f>IF(Tradebook_2023_2026[[#This Row],[Trade Type]]="buy",-(Tradebook_2023_2026[[#This Row],[Quantity]]*Tradebook_2023_2026[[#This Row],[Price]]),(Tradebook_2023_2026[[#This Row],[Quantity]]*Tradebook_2023_2026[[#This Row],[Price]]))</f>
        <v>7344</v>
      </c>
    </row>
    <row r="418" spans="1:6">
      <c r="A418" t="s">
        <v>68</v>
      </c>
      <c r="B418" s="1">
        <v>45028</v>
      </c>
      <c r="C418" t="s">
        <v>6</v>
      </c>
      <c r="D418">
        <v>7</v>
      </c>
      <c r="E418">
        <v>51.04</v>
      </c>
      <c r="F418">
        <f>IF(Tradebook_2023_2026[[#This Row],[Trade Type]]="buy",-(Tradebook_2023_2026[[#This Row],[Quantity]]*Tradebook_2023_2026[[#This Row],[Price]]),(Tradebook_2023_2026[[#This Row],[Quantity]]*Tradebook_2023_2026[[#This Row],[Price]]))</f>
        <v>357.28</v>
      </c>
    </row>
    <row r="419" spans="1:6">
      <c r="A419" t="s">
        <v>68</v>
      </c>
      <c r="B419" s="1">
        <v>45028</v>
      </c>
      <c r="C419" t="s">
        <v>6</v>
      </c>
      <c r="D419">
        <v>36</v>
      </c>
      <c r="E419">
        <v>51</v>
      </c>
      <c r="F419">
        <f>IF(Tradebook_2023_2026[[#This Row],[Trade Type]]="buy",-(Tradebook_2023_2026[[#This Row],[Quantity]]*Tradebook_2023_2026[[#This Row],[Price]]),(Tradebook_2023_2026[[#This Row],[Quantity]]*Tradebook_2023_2026[[#This Row],[Price]]))</f>
        <v>1836</v>
      </c>
    </row>
    <row r="420" spans="1:6">
      <c r="A420" t="s">
        <v>68</v>
      </c>
      <c r="B420" s="1">
        <v>45028</v>
      </c>
      <c r="C420" t="s">
        <v>6</v>
      </c>
      <c r="D420">
        <v>1</v>
      </c>
      <c r="E420">
        <v>51</v>
      </c>
      <c r="F420">
        <f>IF(Tradebook_2023_2026[[#This Row],[Trade Type]]="buy",-(Tradebook_2023_2026[[#This Row],[Quantity]]*Tradebook_2023_2026[[#This Row],[Price]]),(Tradebook_2023_2026[[#This Row],[Quantity]]*Tradebook_2023_2026[[#This Row],[Price]]))</f>
        <v>51</v>
      </c>
    </row>
    <row r="421" spans="1:6">
      <c r="A421" t="s">
        <v>69</v>
      </c>
      <c r="B421" s="1">
        <v>45029</v>
      </c>
      <c r="C421" t="s">
        <v>6</v>
      </c>
      <c r="D421">
        <v>1</v>
      </c>
      <c r="E421">
        <v>52.8</v>
      </c>
      <c r="F421">
        <f>IF(Tradebook_2023_2026[[#This Row],[Trade Type]]="buy",-(Tradebook_2023_2026[[#This Row],[Quantity]]*Tradebook_2023_2026[[#This Row],[Price]]),(Tradebook_2023_2026[[#This Row],[Quantity]]*Tradebook_2023_2026[[#This Row],[Price]]))</f>
        <v>52.8</v>
      </c>
    </row>
    <row r="422" spans="1:6">
      <c r="A422" t="s">
        <v>69</v>
      </c>
      <c r="B422" s="1">
        <v>45029</v>
      </c>
      <c r="C422" t="s">
        <v>6</v>
      </c>
      <c r="D422">
        <v>194</v>
      </c>
      <c r="E422">
        <v>53.05</v>
      </c>
      <c r="F422">
        <f>IF(Tradebook_2023_2026[[#This Row],[Trade Type]]="buy",-(Tradebook_2023_2026[[#This Row],[Quantity]]*Tradebook_2023_2026[[#This Row],[Price]]),(Tradebook_2023_2026[[#This Row],[Quantity]]*Tradebook_2023_2026[[#This Row],[Price]]))</f>
        <v>10291.699999999999</v>
      </c>
    </row>
    <row r="423" spans="1:6">
      <c r="A423" t="s">
        <v>69</v>
      </c>
      <c r="B423" s="1">
        <v>45029</v>
      </c>
      <c r="C423" t="s">
        <v>6</v>
      </c>
      <c r="D423">
        <v>1</v>
      </c>
      <c r="E423">
        <v>53</v>
      </c>
      <c r="F423">
        <f>IF(Tradebook_2023_2026[[#This Row],[Trade Type]]="buy",-(Tradebook_2023_2026[[#This Row],[Quantity]]*Tradebook_2023_2026[[#This Row],[Price]]),(Tradebook_2023_2026[[#This Row],[Quantity]]*Tradebook_2023_2026[[#This Row],[Price]]))</f>
        <v>53</v>
      </c>
    </row>
    <row r="424" spans="1:6">
      <c r="A424" t="s">
        <v>69</v>
      </c>
      <c r="B424" s="1">
        <v>45029</v>
      </c>
      <c r="C424" t="s">
        <v>6</v>
      </c>
      <c r="D424">
        <v>1</v>
      </c>
      <c r="E424">
        <v>52.9</v>
      </c>
      <c r="F424">
        <f>IF(Tradebook_2023_2026[[#This Row],[Trade Type]]="buy",-(Tradebook_2023_2026[[#This Row],[Quantity]]*Tradebook_2023_2026[[#This Row],[Price]]),(Tradebook_2023_2026[[#This Row],[Quantity]]*Tradebook_2023_2026[[#This Row],[Price]]))</f>
        <v>52.9</v>
      </c>
    </row>
    <row r="425" spans="1:6">
      <c r="A425" t="s">
        <v>69</v>
      </c>
      <c r="B425" s="1">
        <v>45029</v>
      </c>
      <c r="C425" t="s">
        <v>6</v>
      </c>
      <c r="D425">
        <v>1</v>
      </c>
      <c r="E425">
        <v>52.8</v>
      </c>
      <c r="F425">
        <f>IF(Tradebook_2023_2026[[#This Row],[Trade Type]]="buy",-(Tradebook_2023_2026[[#This Row],[Quantity]]*Tradebook_2023_2026[[#This Row],[Price]]),(Tradebook_2023_2026[[#This Row],[Quantity]]*Tradebook_2023_2026[[#This Row],[Price]]))</f>
        <v>52.8</v>
      </c>
    </row>
    <row r="426" spans="1:6">
      <c r="A426" t="s">
        <v>69</v>
      </c>
      <c r="B426" s="1">
        <v>45029</v>
      </c>
      <c r="C426" t="s">
        <v>6</v>
      </c>
      <c r="D426">
        <v>1</v>
      </c>
      <c r="E426">
        <v>52.7</v>
      </c>
      <c r="F426">
        <f>IF(Tradebook_2023_2026[[#This Row],[Trade Type]]="buy",-(Tradebook_2023_2026[[#This Row],[Quantity]]*Tradebook_2023_2026[[#This Row],[Price]]),(Tradebook_2023_2026[[#This Row],[Quantity]]*Tradebook_2023_2026[[#This Row],[Price]]))</f>
        <v>52.7</v>
      </c>
    </row>
    <row r="427" spans="1:6">
      <c r="A427" t="s">
        <v>69</v>
      </c>
      <c r="B427" s="1">
        <v>45029</v>
      </c>
      <c r="C427" t="s">
        <v>6</v>
      </c>
      <c r="D427">
        <v>1</v>
      </c>
      <c r="E427">
        <v>52.65</v>
      </c>
      <c r="F427">
        <f>IF(Tradebook_2023_2026[[#This Row],[Trade Type]]="buy",-(Tradebook_2023_2026[[#This Row],[Quantity]]*Tradebook_2023_2026[[#This Row],[Price]]),(Tradebook_2023_2026[[#This Row],[Quantity]]*Tradebook_2023_2026[[#This Row],[Price]]))</f>
        <v>52.65</v>
      </c>
    </row>
    <row r="428" spans="1:6">
      <c r="A428" t="s">
        <v>70</v>
      </c>
      <c r="B428" s="1">
        <v>45034</v>
      </c>
      <c r="C428" t="s">
        <v>6</v>
      </c>
      <c r="D428">
        <v>1600</v>
      </c>
      <c r="E428">
        <v>90.8</v>
      </c>
      <c r="F428">
        <f>IF(Tradebook_2023_2026[[#This Row],[Trade Type]]="buy",-(Tradebook_2023_2026[[#This Row],[Quantity]]*Tradebook_2023_2026[[#This Row],[Price]]),(Tradebook_2023_2026[[#This Row],[Quantity]]*Tradebook_2023_2026[[#This Row],[Price]]))</f>
        <v>145280</v>
      </c>
    </row>
    <row r="429" spans="1:6">
      <c r="A429" t="s">
        <v>30</v>
      </c>
      <c r="B429" s="1">
        <v>45035</v>
      </c>
      <c r="C429" t="s">
        <v>6</v>
      </c>
      <c r="D429">
        <v>100</v>
      </c>
      <c r="E429">
        <v>111</v>
      </c>
      <c r="F429">
        <f>IF(Tradebook_2023_2026[[#This Row],[Trade Type]]="buy",-(Tradebook_2023_2026[[#This Row],[Quantity]]*Tradebook_2023_2026[[#This Row],[Price]]),(Tradebook_2023_2026[[#This Row],[Quantity]]*Tradebook_2023_2026[[#This Row],[Price]]))</f>
        <v>11100</v>
      </c>
    </row>
    <row r="430" spans="1:6">
      <c r="A430" t="s">
        <v>30</v>
      </c>
      <c r="B430" s="1">
        <v>45035</v>
      </c>
      <c r="C430" t="s">
        <v>6</v>
      </c>
      <c r="D430">
        <v>100</v>
      </c>
      <c r="E430">
        <v>111</v>
      </c>
      <c r="F430">
        <f>IF(Tradebook_2023_2026[[#This Row],[Trade Type]]="buy",-(Tradebook_2023_2026[[#This Row],[Quantity]]*Tradebook_2023_2026[[#This Row],[Price]]),(Tradebook_2023_2026[[#This Row],[Quantity]]*Tradebook_2023_2026[[#This Row],[Price]]))</f>
        <v>11100</v>
      </c>
    </row>
    <row r="431" spans="1:6">
      <c r="A431" t="s">
        <v>30</v>
      </c>
      <c r="B431" s="1">
        <v>45035</v>
      </c>
      <c r="C431" t="s">
        <v>6</v>
      </c>
      <c r="D431">
        <v>210</v>
      </c>
      <c r="E431">
        <v>111</v>
      </c>
      <c r="F431">
        <f>IF(Tradebook_2023_2026[[#This Row],[Trade Type]]="buy",-(Tradebook_2023_2026[[#This Row],[Quantity]]*Tradebook_2023_2026[[#This Row],[Price]]),(Tradebook_2023_2026[[#This Row],[Quantity]]*Tradebook_2023_2026[[#This Row],[Price]]))</f>
        <v>23310</v>
      </c>
    </row>
    <row r="432" spans="1:6">
      <c r="A432" t="s">
        <v>71</v>
      </c>
      <c r="B432" s="1">
        <v>45035</v>
      </c>
      <c r="C432" t="s">
        <v>6</v>
      </c>
      <c r="D432">
        <v>2</v>
      </c>
      <c r="E432">
        <v>317.95</v>
      </c>
      <c r="F432">
        <f>IF(Tradebook_2023_2026[[#This Row],[Trade Type]]="buy",-(Tradebook_2023_2026[[#This Row],[Quantity]]*Tradebook_2023_2026[[#This Row],[Price]]),(Tradebook_2023_2026[[#This Row],[Quantity]]*Tradebook_2023_2026[[#This Row],[Price]]))</f>
        <v>635.9</v>
      </c>
    </row>
    <row r="433" spans="1:6">
      <c r="A433" t="s">
        <v>71</v>
      </c>
      <c r="B433" s="1">
        <v>45035</v>
      </c>
      <c r="C433" t="s">
        <v>6</v>
      </c>
      <c r="D433">
        <v>2</v>
      </c>
      <c r="E433">
        <v>317.95</v>
      </c>
      <c r="F433">
        <f>IF(Tradebook_2023_2026[[#This Row],[Trade Type]]="buy",-(Tradebook_2023_2026[[#This Row],[Quantity]]*Tradebook_2023_2026[[#This Row],[Price]]),(Tradebook_2023_2026[[#This Row],[Quantity]]*Tradebook_2023_2026[[#This Row],[Price]]))</f>
        <v>635.9</v>
      </c>
    </row>
    <row r="434" spans="1:6">
      <c r="A434" t="s">
        <v>71</v>
      </c>
      <c r="B434" s="1">
        <v>45035</v>
      </c>
      <c r="C434" t="s">
        <v>6</v>
      </c>
      <c r="D434">
        <v>2</v>
      </c>
      <c r="E434">
        <v>317.95</v>
      </c>
      <c r="F434">
        <f>IF(Tradebook_2023_2026[[#This Row],[Trade Type]]="buy",-(Tradebook_2023_2026[[#This Row],[Quantity]]*Tradebook_2023_2026[[#This Row],[Price]]),(Tradebook_2023_2026[[#This Row],[Quantity]]*Tradebook_2023_2026[[#This Row],[Price]]))</f>
        <v>635.9</v>
      </c>
    </row>
    <row r="435" spans="1:6">
      <c r="A435" t="s">
        <v>71</v>
      </c>
      <c r="B435" s="1">
        <v>45035</v>
      </c>
      <c r="C435" t="s">
        <v>6</v>
      </c>
      <c r="D435">
        <v>2</v>
      </c>
      <c r="E435">
        <v>317.95</v>
      </c>
      <c r="F435">
        <f>IF(Tradebook_2023_2026[[#This Row],[Trade Type]]="buy",-(Tradebook_2023_2026[[#This Row],[Quantity]]*Tradebook_2023_2026[[#This Row],[Price]]),(Tradebook_2023_2026[[#This Row],[Quantity]]*Tradebook_2023_2026[[#This Row],[Price]]))</f>
        <v>635.9</v>
      </c>
    </row>
    <row r="436" spans="1:6">
      <c r="A436" t="s">
        <v>71</v>
      </c>
      <c r="B436" s="1">
        <v>45035</v>
      </c>
      <c r="C436" t="s">
        <v>6</v>
      </c>
      <c r="D436">
        <v>1</v>
      </c>
      <c r="E436">
        <v>317.95</v>
      </c>
      <c r="F436">
        <f>IF(Tradebook_2023_2026[[#This Row],[Trade Type]]="buy",-(Tradebook_2023_2026[[#This Row],[Quantity]]*Tradebook_2023_2026[[#This Row],[Price]]),(Tradebook_2023_2026[[#This Row],[Quantity]]*Tradebook_2023_2026[[#This Row],[Price]]))</f>
        <v>317.95</v>
      </c>
    </row>
    <row r="437" spans="1:6">
      <c r="A437" t="s">
        <v>71</v>
      </c>
      <c r="B437" s="1">
        <v>45035</v>
      </c>
      <c r="C437" t="s">
        <v>6</v>
      </c>
      <c r="D437">
        <v>1</v>
      </c>
      <c r="E437">
        <v>317.95</v>
      </c>
      <c r="F437">
        <f>IF(Tradebook_2023_2026[[#This Row],[Trade Type]]="buy",-(Tradebook_2023_2026[[#This Row],[Quantity]]*Tradebook_2023_2026[[#This Row],[Price]]),(Tradebook_2023_2026[[#This Row],[Quantity]]*Tradebook_2023_2026[[#This Row],[Price]]))</f>
        <v>317.95</v>
      </c>
    </row>
    <row r="438" spans="1:6">
      <c r="A438" t="s">
        <v>71</v>
      </c>
      <c r="B438" s="1">
        <v>45035</v>
      </c>
      <c r="C438" t="s">
        <v>6</v>
      </c>
      <c r="D438">
        <v>2</v>
      </c>
      <c r="E438">
        <v>317.95</v>
      </c>
      <c r="F438">
        <f>IF(Tradebook_2023_2026[[#This Row],[Trade Type]]="buy",-(Tradebook_2023_2026[[#This Row],[Quantity]]*Tradebook_2023_2026[[#This Row],[Price]]),(Tradebook_2023_2026[[#This Row],[Quantity]]*Tradebook_2023_2026[[#This Row],[Price]]))</f>
        <v>635.9</v>
      </c>
    </row>
    <row r="439" spans="1:6">
      <c r="A439" t="s">
        <v>71</v>
      </c>
      <c r="B439" s="1">
        <v>45035</v>
      </c>
      <c r="C439" t="s">
        <v>6</v>
      </c>
      <c r="D439">
        <v>2</v>
      </c>
      <c r="E439">
        <v>317.95</v>
      </c>
      <c r="F439">
        <f>IF(Tradebook_2023_2026[[#This Row],[Trade Type]]="buy",-(Tradebook_2023_2026[[#This Row],[Quantity]]*Tradebook_2023_2026[[#This Row],[Price]]),(Tradebook_2023_2026[[#This Row],[Quantity]]*Tradebook_2023_2026[[#This Row],[Price]]))</f>
        <v>635.9</v>
      </c>
    </row>
    <row r="440" spans="1:6">
      <c r="A440" t="s">
        <v>71</v>
      </c>
      <c r="B440" s="1">
        <v>45035</v>
      </c>
      <c r="C440" t="s">
        <v>6</v>
      </c>
      <c r="D440">
        <v>23</v>
      </c>
      <c r="E440">
        <v>317.95</v>
      </c>
      <c r="F440">
        <f>IF(Tradebook_2023_2026[[#This Row],[Trade Type]]="buy",-(Tradebook_2023_2026[[#This Row],[Quantity]]*Tradebook_2023_2026[[#This Row],[Price]]),(Tradebook_2023_2026[[#This Row],[Quantity]]*Tradebook_2023_2026[[#This Row],[Price]]))</f>
        <v>7312.8499999999995</v>
      </c>
    </row>
    <row r="441" spans="1:6">
      <c r="A441" t="s">
        <v>71</v>
      </c>
      <c r="B441" s="1">
        <v>45035</v>
      </c>
      <c r="C441" t="s">
        <v>6</v>
      </c>
      <c r="D441">
        <v>2</v>
      </c>
      <c r="E441">
        <v>317.95</v>
      </c>
      <c r="F441">
        <f>IF(Tradebook_2023_2026[[#This Row],[Trade Type]]="buy",-(Tradebook_2023_2026[[#This Row],[Quantity]]*Tradebook_2023_2026[[#This Row],[Price]]),(Tradebook_2023_2026[[#This Row],[Quantity]]*Tradebook_2023_2026[[#This Row],[Price]]))</f>
        <v>635.9</v>
      </c>
    </row>
    <row r="442" spans="1:6">
      <c r="A442" t="s">
        <v>71</v>
      </c>
      <c r="B442" s="1">
        <v>45035</v>
      </c>
      <c r="C442" t="s">
        <v>6</v>
      </c>
      <c r="D442">
        <v>1</v>
      </c>
      <c r="E442">
        <v>317.95</v>
      </c>
      <c r="F442">
        <f>IF(Tradebook_2023_2026[[#This Row],[Trade Type]]="buy",-(Tradebook_2023_2026[[#This Row],[Quantity]]*Tradebook_2023_2026[[#This Row],[Price]]),(Tradebook_2023_2026[[#This Row],[Quantity]]*Tradebook_2023_2026[[#This Row],[Price]]))</f>
        <v>317.95</v>
      </c>
    </row>
    <row r="443" spans="1:6">
      <c r="A443" t="s">
        <v>71</v>
      </c>
      <c r="B443" s="1">
        <v>45035</v>
      </c>
      <c r="C443" t="s">
        <v>6</v>
      </c>
      <c r="D443">
        <v>2</v>
      </c>
      <c r="E443">
        <v>317.95</v>
      </c>
      <c r="F443">
        <f>IF(Tradebook_2023_2026[[#This Row],[Trade Type]]="buy",-(Tradebook_2023_2026[[#This Row],[Quantity]]*Tradebook_2023_2026[[#This Row],[Price]]),(Tradebook_2023_2026[[#This Row],[Quantity]]*Tradebook_2023_2026[[#This Row],[Price]]))</f>
        <v>635.9</v>
      </c>
    </row>
    <row r="444" spans="1:6">
      <c r="A444" t="s">
        <v>72</v>
      </c>
      <c r="B444" s="1">
        <v>45036</v>
      </c>
      <c r="C444" t="s">
        <v>6</v>
      </c>
      <c r="D444">
        <v>10</v>
      </c>
      <c r="E444">
        <v>130</v>
      </c>
      <c r="F444">
        <f>IF(Tradebook_2023_2026[[#This Row],[Trade Type]]="buy",-(Tradebook_2023_2026[[#This Row],[Quantity]]*Tradebook_2023_2026[[#This Row],[Price]]),(Tradebook_2023_2026[[#This Row],[Quantity]]*Tradebook_2023_2026[[#This Row],[Price]]))</f>
        <v>1300</v>
      </c>
    </row>
    <row r="445" spans="1:6">
      <c r="A445" t="s">
        <v>73</v>
      </c>
      <c r="B445" s="1">
        <v>45037</v>
      </c>
      <c r="C445" t="s">
        <v>6</v>
      </c>
      <c r="D445">
        <v>50</v>
      </c>
      <c r="E445">
        <v>20.5</v>
      </c>
      <c r="F445">
        <f>IF(Tradebook_2023_2026[[#This Row],[Trade Type]]="buy",-(Tradebook_2023_2026[[#This Row],[Quantity]]*Tradebook_2023_2026[[#This Row],[Price]]),(Tradebook_2023_2026[[#This Row],[Quantity]]*Tradebook_2023_2026[[#This Row],[Price]]))</f>
        <v>1025</v>
      </c>
    </row>
    <row r="446" spans="1:6">
      <c r="A446" t="s">
        <v>73</v>
      </c>
      <c r="B446" s="1">
        <v>45037</v>
      </c>
      <c r="C446" t="s">
        <v>6</v>
      </c>
      <c r="D446">
        <v>20</v>
      </c>
      <c r="E446">
        <v>20.5</v>
      </c>
      <c r="F446">
        <f>IF(Tradebook_2023_2026[[#This Row],[Trade Type]]="buy",-(Tradebook_2023_2026[[#This Row],[Quantity]]*Tradebook_2023_2026[[#This Row],[Price]]),(Tradebook_2023_2026[[#This Row],[Quantity]]*Tradebook_2023_2026[[#This Row],[Price]]))</f>
        <v>410</v>
      </c>
    </row>
    <row r="447" spans="1:6">
      <c r="A447" t="s">
        <v>73</v>
      </c>
      <c r="B447" s="1">
        <v>45037</v>
      </c>
      <c r="C447" t="s">
        <v>6</v>
      </c>
      <c r="D447">
        <v>50</v>
      </c>
      <c r="E447">
        <v>20.5</v>
      </c>
      <c r="F447">
        <f>IF(Tradebook_2023_2026[[#This Row],[Trade Type]]="buy",-(Tradebook_2023_2026[[#This Row],[Quantity]]*Tradebook_2023_2026[[#This Row],[Price]]),(Tradebook_2023_2026[[#This Row],[Quantity]]*Tradebook_2023_2026[[#This Row],[Price]]))</f>
        <v>1025</v>
      </c>
    </row>
    <row r="448" spans="1:6">
      <c r="A448" t="s">
        <v>73</v>
      </c>
      <c r="B448" s="1">
        <v>45037</v>
      </c>
      <c r="C448" t="s">
        <v>6</v>
      </c>
      <c r="D448">
        <v>25</v>
      </c>
      <c r="E448">
        <v>20.5</v>
      </c>
      <c r="F448">
        <f>IF(Tradebook_2023_2026[[#This Row],[Trade Type]]="buy",-(Tradebook_2023_2026[[#This Row],[Quantity]]*Tradebook_2023_2026[[#This Row],[Price]]),(Tradebook_2023_2026[[#This Row],[Quantity]]*Tradebook_2023_2026[[#This Row],[Price]]))</f>
        <v>512.5</v>
      </c>
    </row>
    <row r="449" spans="1:6">
      <c r="A449" t="s">
        <v>73</v>
      </c>
      <c r="B449" s="1">
        <v>45037</v>
      </c>
      <c r="C449" t="s">
        <v>6</v>
      </c>
      <c r="D449">
        <v>185</v>
      </c>
      <c r="E449">
        <v>20.5</v>
      </c>
      <c r="F449">
        <f>IF(Tradebook_2023_2026[[#This Row],[Trade Type]]="buy",-(Tradebook_2023_2026[[#This Row],[Quantity]]*Tradebook_2023_2026[[#This Row],[Price]]),(Tradebook_2023_2026[[#This Row],[Quantity]]*Tradebook_2023_2026[[#This Row],[Price]]))</f>
        <v>3792.5</v>
      </c>
    </row>
    <row r="450" spans="1:6">
      <c r="A450" t="s">
        <v>73</v>
      </c>
      <c r="B450" s="1">
        <v>45037</v>
      </c>
      <c r="C450" t="s">
        <v>6</v>
      </c>
      <c r="D450">
        <v>25</v>
      </c>
      <c r="E450">
        <v>20.5</v>
      </c>
      <c r="F450">
        <f>IF(Tradebook_2023_2026[[#This Row],[Trade Type]]="buy",-(Tradebook_2023_2026[[#This Row],[Quantity]]*Tradebook_2023_2026[[#This Row],[Price]]),(Tradebook_2023_2026[[#This Row],[Quantity]]*Tradebook_2023_2026[[#This Row],[Price]]))</f>
        <v>512.5</v>
      </c>
    </row>
    <row r="451" spans="1:6">
      <c r="A451" t="s">
        <v>73</v>
      </c>
      <c r="B451" s="1">
        <v>45037</v>
      </c>
      <c r="C451" t="s">
        <v>6</v>
      </c>
      <c r="D451">
        <v>2</v>
      </c>
      <c r="E451">
        <v>20.5</v>
      </c>
      <c r="F451">
        <f>IF(Tradebook_2023_2026[[#This Row],[Trade Type]]="buy",-(Tradebook_2023_2026[[#This Row],[Quantity]]*Tradebook_2023_2026[[#This Row],[Price]]),(Tradebook_2023_2026[[#This Row],[Quantity]]*Tradebook_2023_2026[[#This Row],[Price]]))</f>
        <v>41</v>
      </c>
    </row>
    <row r="452" spans="1:6">
      <c r="A452" t="s">
        <v>73</v>
      </c>
      <c r="B452" s="1">
        <v>45037</v>
      </c>
      <c r="C452" t="s">
        <v>6</v>
      </c>
      <c r="D452">
        <v>2</v>
      </c>
      <c r="E452">
        <v>20.5</v>
      </c>
      <c r="F452">
        <f>IF(Tradebook_2023_2026[[#This Row],[Trade Type]]="buy",-(Tradebook_2023_2026[[#This Row],[Quantity]]*Tradebook_2023_2026[[#This Row],[Price]]),(Tradebook_2023_2026[[#This Row],[Quantity]]*Tradebook_2023_2026[[#This Row],[Price]]))</f>
        <v>41</v>
      </c>
    </row>
    <row r="453" spans="1:6">
      <c r="A453" t="s">
        <v>73</v>
      </c>
      <c r="B453" s="1">
        <v>45037</v>
      </c>
      <c r="C453" t="s">
        <v>6</v>
      </c>
      <c r="D453">
        <v>2</v>
      </c>
      <c r="E453">
        <v>20.5</v>
      </c>
      <c r="F453">
        <f>IF(Tradebook_2023_2026[[#This Row],[Trade Type]]="buy",-(Tradebook_2023_2026[[#This Row],[Quantity]]*Tradebook_2023_2026[[#This Row],[Price]]),(Tradebook_2023_2026[[#This Row],[Quantity]]*Tradebook_2023_2026[[#This Row],[Price]]))</f>
        <v>41</v>
      </c>
    </row>
    <row r="454" spans="1:6">
      <c r="A454" t="s">
        <v>73</v>
      </c>
      <c r="B454" s="1">
        <v>45037</v>
      </c>
      <c r="C454" t="s">
        <v>6</v>
      </c>
      <c r="D454">
        <v>2</v>
      </c>
      <c r="E454">
        <v>20.5</v>
      </c>
      <c r="F454">
        <f>IF(Tradebook_2023_2026[[#This Row],[Trade Type]]="buy",-(Tradebook_2023_2026[[#This Row],[Quantity]]*Tradebook_2023_2026[[#This Row],[Price]]),(Tradebook_2023_2026[[#This Row],[Quantity]]*Tradebook_2023_2026[[#This Row],[Price]]))</f>
        <v>41</v>
      </c>
    </row>
    <row r="455" spans="1:6">
      <c r="A455" t="s">
        <v>73</v>
      </c>
      <c r="B455" s="1">
        <v>45037</v>
      </c>
      <c r="C455" t="s">
        <v>6</v>
      </c>
      <c r="D455">
        <v>6</v>
      </c>
      <c r="E455">
        <v>20.5</v>
      </c>
      <c r="F455">
        <f>IF(Tradebook_2023_2026[[#This Row],[Trade Type]]="buy",-(Tradebook_2023_2026[[#This Row],[Quantity]]*Tradebook_2023_2026[[#This Row],[Price]]),(Tradebook_2023_2026[[#This Row],[Quantity]]*Tradebook_2023_2026[[#This Row],[Price]]))</f>
        <v>123</v>
      </c>
    </row>
    <row r="456" spans="1:6">
      <c r="A456" t="s">
        <v>73</v>
      </c>
      <c r="B456" s="1">
        <v>45037</v>
      </c>
      <c r="C456" t="s">
        <v>6</v>
      </c>
      <c r="D456">
        <v>50</v>
      </c>
      <c r="E456">
        <v>20.5</v>
      </c>
      <c r="F456">
        <f>IF(Tradebook_2023_2026[[#This Row],[Trade Type]]="buy",-(Tradebook_2023_2026[[#This Row],[Quantity]]*Tradebook_2023_2026[[#This Row],[Price]]),(Tradebook_2023_2026[[#This Row],[Quantity]]*Tradebook_2023_2026[[#This Row],[Price]]))</f>
        <v>1025</v>
      </c>
    </row>
    <row r="457" spans="1:6">
      <c r="A457" t="s">
        <v>73</v>
      </c>
      <c r="B457" s="1">
        <v>45037</v>
      </c>
      <c r="C457" t="s">
        <v>6</v>
      </c>
      <c r="D457">
        <v>1</v>
      </c>
      <c r="E457">
        <v>20.5</v>
      </c>
      <c r="F457">
        <f>IF(Tradebook_2023_2026[[#This Row],[Trade Type]]="buy",-(Tradebook_2023_2026[[#This Row],[Quantity]]*Tradebook_2023_2026[[#This Row],[Price]]),(Tradebook_2023_2026[[#This Row],[Quantity]]*Tradebook_2023_2026[[#This Row],[Price]]))</f>
        <v>20.5</v>
      </c>
    </row>
    <row r="458" spans="1:6">
      <c r="A458" t="s">
        <v>73</v>
      </c>
      <c r="B458" s="1">
        <v>45037</v>
      </c>
      <c r="C458" t="s">
        <v>6</v>
      </c>
      <c r="D458">
        <v>50</v>
      </c>
      <c r="E458">
        <v>20.5</v>
      </c>
      <c r="F458">
        <f>IF(Tradebook_2023_2026[[#This Row],[Trade Type]]="buy",-(Tradebook_2023_2026[[#This Row],[Quantity]]*Tradebook_2023_2026[[#This Row],[Price]]),(Tradebook_2023_2026[[#This Row],[Quantity]]*Tradebook_2023_2026[[#This Row],[Price]]))</f>
        <v>1025</v>
      </c>
    </row>
    <row r="459" spans="1:6">
      <c r="A459" t="s">
        <v>73</v>
      </c>
      <c r="B459" s="1">
        <v>45037</v>
      </c>
      <c r="C459" t="s">
        <v>6</v>
      </c>
      <c r="D459">
        <v>2</v>
      </c>
      <c r="E459">
        <v>20.5</v>
      </c>
      <c r="F459">
        <f>IF(Tradebook_2023_2026[[#This Row],[Trade Type]]="buy",-(Tradebook_2023_2026[[#This Row],[Quantity]]*Tradebook_2023_2026[[#This Row],[Price]]),(Tradebook_2023_2026[[#This Row],[Quantity]]*Tradebook_2023_2026[[#This Row],[Price]]))</f>
        <v>41</v>
      </c>
    </row>
    <row r="460" spans="1:6">
      <c r="A460" t="s">
        <v>73</v>
      </c>
      <c r="B460" s="1">
        <v>45037</v>
      </c>
      <c r="C460" t="s">
        <v>6</v>
      </c>
      <c r="D460">
        <v>2</v>
      </c>
      <c r="E460">
        <v>20.5</v>
      </c>
      <c r="F460">
        <f>IF(Tradebook_2023_2026[[#This Row],[Trade Type]]="buy",-(Tradebook_2023_2026[[#This Row],[Quantity]]*Tradebook_2023_2026[[#This Row],[Price]]),(Tradebook_2023_2026[[#This Row],[Quantity]]*Tradebook_2023_2026[[#This Row],[Price]]))</f>
        <v>41</v>
      </c>
    </row>
    <row r="461" spans="1:6">
      <c r="A461" t="s">
        <v>73</v>
      </c>
      <c r="B461" s="1">
        <v>45037</v>
      </c>
      <c r="C461" t="s">
        <v>6</v>
      </c>
      <c r="D461">
        <v>1</v>
      </c>
      <c r="E461">
        <v>20.5</v>
      </c>
      <c r="F461">
        <f>IF(Tradebook_2023_2026[[#This Row],[Trade Type]]="buy",-(Tradebook_2023_2026[[#This Row],[Quantity]]*Tradebook_2023_2026[[#This Row],[Price]]),(Tradebook_2023_2026[[#This Row],[Quantity]]*Tradebook_2023_2026[[#This Row],[Price]]))</f>
        <v>20.5</v>
      </c>
    </row>
    <row r="462" spans="1:6">
      <c r="A462" t="s">
        <v>73</v>
      </c>
      <c r="B462" s="1">
        <v>45037</v>
      </c>
      <c r="C462" t="s">
        <v>6</v>
      </c>
      <c r="D462">
        <v>50</v>
      </c>
      <c r="E462">
        <v>20.5</v>
      </c>
      <c r="F462">
        <f>IF(Tradebook_2023_2026[[#This Row],[Trade Type]]="buy",-(Tradebook_2023_2026[[#This Row],[Quantity]]*Tradebook_2023_2026[[#This Row],[Price]]),(Tradebook_2023_2026[[#This Row],[Quantity]]*Tradebook_2023_2026[[#This Row],[Price]]))</f>
        <v>1025</v>
      </c>
    </row>
    <row r="463" spans="1:6">
      <c r="A463" t="s">
        <v>73</v>
      </c>
      <c r="B463" s="1">
        <v>45037</v>
      </c>
      <c r="C463" t="s">
        <v>6</v>
      </c>
      <c r="D463">
        <v>45</v>
      </c>
      <c r="E463">
        <v>20.5</v>
      </c>
      <c r="F463">
        <f>IF(Tradebook_2023_2026[[#This Row],[Trade Type]]="buy",-(Tradebook_2023_2026[[#This Row],[Quantity]]*Tradebook_2023_2026[[#This Row],[Price]]),(Tradebook_2023_2026[[#This Row],[Quantity]]*Tradebook_2023_2026[[#This Row],[Price]]))</f>
        <v>922.5</v>
      </c>
    </row>
    <row r="464" spans="1:6">
      <c r="A464" t="s">
        <v>73</v>
      </c>
      <c r="B464" s="1">
        <v>45037</v>
      </c>
      <c r="C464" t="s">
        <v>6</v>
      </c>
      <c r="D464">
        <v>200</v>
      </c>
      <c r="E464">
        <v>20.5</v>
      </c>
      <c r="F464">
        <f>IF(Tradebook_2023_2026[[#This Row],[Trade Type]]="buy",-(Tradebook_2023_2026[[#This Row],[Quantity]]*Tradebook_2023_2026[[#This Row],[Price]]),(Tradebook_2023_2026[[#This Row],[Quantity]]*Tradebook_2023_2026[[#This Row],[Price]]))</f>
        <v>4100</v>
      </c>
    </row>
    <row r="465" spans="1:6">
      <c r="A465" t="s">
        <v>73</v>
      </c>
      <c r="B465" s="1">
        <v>45037</v>
      </c>
      <c r="C465" t="s">
        <v>6</v>
      </c>
      <c r="D465">
        <v>10</v>
      </c>
      <c r="E465">
        <v>20.5</v>
      </c>
      <c r="F465">
        <f>IF(Tradebook_2023_2026[[#This Row],[Trade Type]]="buy",-(Tradebook_2023_2026[[#This Row],[Quantity]]*Tradebook_2023_2026[[#This Row],[Price]]),(Tradebook_2023_2026[[#This Row],[Quantity]]*Tradebook_2023_2026[[#This Row],[Price]]))</f>
        <v>205</v>
      </c>
    </row>
    <row r="466" spans="1:6">
      <c r="A466" t="s">
        <v>73</v>
      </c>
      <c r="B466" s="1">
        <v>45037</v>
      </c>
      <c r="C466" t="s">
        <v>6</v>
      </c>
      <c r="D466">
        <v>100</v>
      </c>
      <c r="E466">
        <v>20.5</v>
      </c>
      <c r="F466">
        <f>IF(Tradebook_2023_2026[[#This Row],[Trade Type]]="buy",-(Tradebook_2023_2026[[#This Row],[Quantity]]*Tradebook_2023_2026[[#This Row],[Price]]),(Tradebook_2023_2026[[#This Row],[Quantity]]*Tradebook_2023_2026[[#This Row],[Price]]))</f>
        <v>2050</v>
      </c>
    </row>
    <row r="467" spans="1:6">
      <c r="A467" t="s">
        <v>73</v>
      </c>
      <c r="B467" s="1">
        <v>45037</v>
      </c>
      <c r="C467" t="s">
        <v>6</v>
      </c>
      <c r="D467">
        <v>14</v>
      </c>
      <c r="E467">
        <v>20.5</v>
      </c>
      <c r="F467">
        <f>IF(Tradebook_2023_2026[[#This Row],[Trade Type]]="buy",-(Tradebook_2023_2026[[#This Row],[Quantity]]*Tradebook_2023_2026[[#This Row],[Price]]),(Tradebook_2023_2026[[#This Row],[Quantity]]*Tradebook_2023_2026[[#This Row],[Price]]))</f>
        <v>287</v>
      </c>
    </row>
    <row r="468" spans="1:6">
      <c r="A468" t="s">
        <v>73</v>
      </c>
      <c r="B468" s="1">
        <v>45037</v>
      </c>
      <c r="C468" t="s">
        <v>6</v>
      </c>
      <c r="D468">
        <v>25</v>
      </c>
      <c r="E468">
        <v>20.5</v>
      </c>
      <c r="F468">
        <f>IF(Tradebook_2023_2026[[#This Row],[Trade Type]]="buy",-(Tradebook_2023_2026[[#This Row],[Quantity]]*Tradebook_2023_2026[[#This Row],[Price]]),(Tradebook_2023_2026[[#This Row],[Quantity]]*Tradebook_2023_2026[[#This Row],[Price]]))</f>
        <v>512.5</v>
      </c>
    </row>
    <row r="469" spans="1:6">
      <c r="A469" t="s">
        <v>73</v>
      </c>
      <c r="B469" s="1">
        <v>45037</v>
      </c>
      <c r="C469" t="s">
        <v>6</v>
      </c>
      <c r="D469">
        <v>2</v>
      </c>
      <c r="E469">
        <v>20.5</v>
      </c>
      <c r="F469">
        <f>IF(Tradebook_2023_2026[[#This Row],[Trade Type]]="buy",-(Tradebook_2023_2026[[#This Row],[Quantity]]*Tradebook_2023_2026[[#This Row],[Price]]),(Tradebook_2023_2026[[#This Row],[Quantity]]*Tradebook_2023_2026[[#This Row],[Price]]))</f>
        <v>41</v>
      </c>
    </row>
    <row r="470" spans="1:6">
      <c r="A470" t="s">
        <v>74</v>
      </c>
      <c r="B470" s="1">
        <v>45049</v>
      </c>
      <c r="C470" t="s">
        <v>6</v>
      </c>
      <c r="D470">
        <v>4000</v>
      </c>
      <c r="E470">
        <v>29</v>
      </c>
      <c r="F470">
        <f>IF(Tradebook_2023_2026[[#This Row],[Trade Type]]="buy",-(Tradebook_2023_2026[[#This Row],[Quantity]]*Tradebook_2023_2026[[#This Row],[Price]]),(Tradebook_2023_2026[[#This Row],[Quantity]]*Tradebook_2023_2026[[#This Row],[Price]]))</f>
        <v>116000</v>
      </c>
    </row>
    <row r="471" spans="1:6">
      <c r="A471" t="s">
        <v>75</v>
      </c>
      <c r="B471" s="1">
        <v>45051</v>
      </c>
      <c r="C471" t="s">
        <v>6</v>
      </c>
      <c r="D471">
        <v>30</v>
      </c>
      <c r="E471">
        <v>6.35</v>
      </c>
      <c r="F471">
        <f>IF(Tradebook_2023_2026[[#This Row],[Trade Type]]="buy",-(Tradebook_2023_2026[[#This Row],[Quantity]]*Tradebook_2023_2026[[#This Row],[Price]]),(Tradebook_2023_2026[[#This Row],[Quantity]]*Tradebook_2023_2026[[#This Row],[Price]]))</f>
        <v>190.5</v>
      </c>
    </row>
    <row r="472" spans="1:6">
      <c r="A472" t="s">
        <v>75</v>
      </c>
      <c r="B472" s="1">
        <v>45051</v>
      </c>
      <c r="C472" t="s">
        <v>6</v>
      </c>
      <c r="D472">
        <v>100</v>
      </c>
      <c r="E472">
        <v>6.35</v>
      </c>
      <c r="F472">
        <f>IF(Tradebook_2023_2026[[#This Row],[Trade Type]]="buy",-(Tradebook_2023_2026[[#This Row],[Quantity]]*Tradebook_2023_2026[[#This Row],[Price]]),(Tradebook_2023_2026[[#This Row],[Quantity]]*Tradebook_2023_2026[[#This Row],[Price]]))</f>
        <v>635</v>
      </c>
    </row>
    <row r="473" spans="1:6">
      <c r="A473" t="s">
        <v>76</v>
      </c>
      <c r="B473" s="1">
        <v>45061</v>
      </c>
      <c r="C473" t="s">
        <v>6</v>
      </c>
      <c r="D473">
        <v>49</v>
      </c>
      <c r="E473">
        <v>107</v>
      </c>
      <c r="F473">
        <f>IF(Tradebook_2023_2026[[#This Row],[Trade Type]]="buy",-(Tradebook_2023_2026[[#This Row],[Quantity]]*Tradebook_2023_2026[[#This Row],[Price]]),(Tradebook_2023_2026[[#This Row],[Quantity]]*Tradebook_2023_2026[[#This Row],[Price]]))</f>
        <v>5243</v>
      </c>
    </row>
    <row r="474" spans="1:6">
      <c r="A474" t="s">
        <v>77</v>
      </c>
      <c r="B474" s="1">
        <v>45061</v>
      </c>
      <c r="C474" t="s">
        <v>8</v>
      </c>
      <c r="D474">
        <v>200</v>
      </c>
      <c r="E474">
        <v>223</v>
      </c>
      <c r="F474">
        <f>IF(Tradebook_2023_2026[[#This Row],[Trade Type]]="buy",-(Tradebook_2023_2026[[#This Row],[Quantity]]*Tradebook_2023_2026[[#This Row],[Price]]),(Tradebook_2023_2026[[#This Row],[Quantity]]*Tradebook_2023_2026[[#This Row],[Price]]))</f>
        <v>-44600</v>
      </c>
    </row>
    <row r="475" spans="1:6">
      <c r="A475" t="s">
        <v>75</v>
      </c>
      <c r="B475" s="1">
        <v>45061</v>
      </c>
      <c r="C475" t="s">
        <v>6</v>
      </c>
      <c r="D475">
        <v>1</v>
      </c>
      <c r="E475">
        <v>5.25</v>
      </c>
      <c r="F475">
        <f>IF(Tradebook_2023_2026[[#This Row],[Trade Type]]="buy",-(Tradebook_2023_2026[[#This Row],[Quantity]]*Tradebook_2023_2026[[#This Row],[Price]]),(Tradebook_2023_2026[[#This Row],[Quantity]]*Tradebook_2023_2026[[#This Row],[Price]]))</f>
        <v>5.25</v>
      </c>
    </row>
    <row r="476" spans="1:6">
      <c r="A476" t="s">
        <v>75</v>
      </c>
      <c r="B476" s="1">
        <v>45061</v>
      </c>
      <c r="C476" t="s">
        <v>6</v>
      </c>
      <c r="D476">
        <v>1</v>
      </c>
      <c r="E476">
        <v>5.25</v>
      </c>
      <c r="F476">
        <f>IF(Tradebook_2023_2026[[#This Row],[Trade Type]]="buy",-(Tradebook_2023_2026[[#This Row],[Quantity]]*Tradebook_2023_2026[[#This Row],[Price]]),(Tradebook_2023_2026[[#This Row],[Quantity]]*Tradebook_2023_2026[[#This Row],[Price]]))</f>
        <v>5.25</v>
      </c>
    </row>
    <row r="477" spans="1:6">
      <c r="A477" t="s">
        <v>75</v>
      </c>
      <c r="B477" s="1">
        <v>45061</v>
      </c>
      <c r="C477" t="s">
        <v>6</v>
      </c>
      <c r="D477">
        <v>500</v>
      </c>
      <c r="E477">
        <v>5.25</v>
      </c>
      <c r="F477">
        <f>IF(Tradebook_2023_2026[[#This Row],[Trade Type]]="buy",-(Tradebook_2023_2026[[#This Row],[Quantity]]*Tradebook_2023_2026[[#This Row],[Price]]),(Tradebook_2023_2026[[#This Row],[Quantity]]*Tradebook_2023_2026[[#This Row],[Price]]))</f>
        <v>2625</v>
      </c>
    </row>
    <row r="478" spans="1:6">
      <c r="A478" t="s">
        <v>75</v>
      </c>
      <c r="B478" s="1">
        <v>45061</v>
      </c>
      <c r="C478" t="s">
        <v>6</v>
      </c>
      <c r="D478">
        <v>1</v>
      </c>
      <c r="E478">
        <v>5.25</v>
      </c>
      <c r="F478">
        <f>IF(Tradebook_2023_2026[[#This Row],[Trade Type]]="buy",-(Tradebook_2023_2026[[#This Row],[Quantity]]*Tradebook_2023_2026[[#This Row],[Price]]),(Tradebook_2023_2026[[#This Row],[Quantity]]*Tradebook_2023_2026[[#This Row],[Price]]))</f>
        <v>5.25</v>
      </c>
    </row>
    <row r="479" spans="1:6">
      <c r="A479" t="s">
        <v>75</v>
      </c>
      <c r="B479" s="1">
        <v>45061</v>
      </c>
      <c r="C479" t="s">
        <v>6</v>
      </c>
      <c r="D479">
        <v>10</v>
      </c>
      <c r="E479">
        <v>5.25</v>
      </c>
      <c r="F479">
        <f>IF(Tradebook_2023_2026[[#This Row],[Trade Type]]="buy",-(Tradebook_2023_2026[[#This Row],[Quantity]]*Tradebook_2023_2026[[#This Row],[Price]]),(Tradebook_2023_2026[[#This Row],[Quantity]]*Tradebook_2023_2026[[#This Row],[Price]]))</f>
        <v>52.5</v>
      </c>
    </row>
    <row r="480" spans="1:6">
      <c r="A480" t="s">
        <v>75</v>
      </c>
      <c r="B480" s="1">
        <v>45061</v>
      </c>
      <c r="C480" t="s">
        <v>6</v>
      </c>
      <c r="D480">
        <v>200</v>
      </c>
      <c r="E480">
        <v>5.25</v>
      </c>
      <c r="F480">
        <f>IF(Tradebook_2023_2026[[#This Row],[Trade Type]]="buy",-(Tradebook_2023_2026[[#This Row],[Quantity]]*Tradebook_2023_2026[[#This Row],[Price]]),(Tradebook_2023_2026[[#This Row],[Quantity]]*Tradebook_2023_2026[[#This Row],[Price]]))</f>
        <v>1050</v>
      </c>
    </row>
    <row r="481" spans="1:6">
      <c r="A481" t="s">
        <v>75</v>
      </c>
      <c r="B481" s="1">
        <v>45061</v>
      </c>
      <c r="C481" t="s">
        <v>6</v>
      </c>
      <c r="D481">
        <v>147</v>
      </c>
      <c r="E481">
        <v>5.25</v>
      </c>
      <c r="F481">
        <f>IF(Tradebook_2023_2026[[#This Row],[Trade Type]]="buy",-(Tradebook_2023_2026[[#This Row],[Quantity]]*Tradebook_2023_2026[[#This Row],[Price]]),(Tradebook_2023_2026[[#This Row],[Quantity]]*Tradebook_2023_2026[[#This Row],[Price]]))</f>
        <v>771.75</v>
      </c>
    </row>
    <row r="482" spans="1:6">
      <c r="A482" t="s">
        <v>75</v>
      </c>
      <c r="B482" s="1">
        <v>45061</v>
      </c>
      <c r="C482" t="s">
        <v>6</v>
      </c>
      <c r="D482">
        <v>4</v>
      </c>
      <c r="E482">
        <v>5.25</v>
      </c>
      <c r="F482">
        <f>IF(Tradebook_2023_2026[[#This Row],[Trade Type]]="buy",-(Tradebook_2023_2026[[#This Row],[Quantity]]*Tradebook_2023_2026[[#This Row],[Price]]),(Tradebook_2023_2026[[#This Row],[Quantity]]*Tradebook_2023_2026[[#This Row],[Price]]))</f>
        <v>21</v>
      </c>
    </row>
    <row r="483" spans="1:6">
      <c r="A483" t="s">
        <v>75</v>
      </c>
      <c r="B483" s="1">
        <v>45061</v>
      </c>
      <c r="C483" t="s">
        <v>6</v>
      </c>
      <c r="D483">
        <v>18</v>
      </c>
      <c r="E483">
        <v>5.25</v>
      </c>
      <c r="F483">
        <f>IF(Tradebook_2023_2026[[#This Row],[Trade Type]]="buy",-(Tradebook_2023_2026[[#This Row],[Quantity]]*Tradebook_2023_2026[[#This Row],[Price]]),(Tradebook_2023_2026[[#This Row],[Quantity]]*Tradebook_2023_2026[[#This Row],[Price]]))</f>
        <v>94.5</v>
      </c>
    </row>
    <row r="484" spans="1:6">
      <c r="A484" t="s">
        <v>75</v>
      </c>
      <c r="B484" s="1">
        <v>45061</v>
      </c>
      <c r="C484" t="s">
        <v>6</v>
      </c>
      <c r="D484">
        <v>100</v>
      </c>
      <c r="E484">
        <v>5.25</v>
      </c>
      <c r="F484">
        <f>IF(Tradebook_2023_2026[[#This Row],[Trade Type]]="buy",-(Tradebook_2023_2026[[#This Row],[Quantity]]*Tradebook_2023_2026[[#This Row],[Price]]),(Tradebook_2023_2026[[#This Row],[Quantity]]*Tradebook_2023_2026[[#This Row],[Price]]))</f>
        <v>525</v>
      </c>
    </row>
    <row r="485" spans="1:6">
      <c r="A485" t="s">
        <v>75</v>
      </c>
      <c r="B485" s="1">
        <v>45061</v>
      </c>
      <c r="C485" t="s">
        <v>6</v>
      </c>
      <c r="D485">
        <v>784</v>
      </c>
      <c r="E485">
        <v>5.25</v>
      </c>
      <c r="F485">
        <f>IF(Tradebook_2023_2026[[#This Row],[Trade Type]]="buy",-(Tradebook_2023_2026[[#This Row],[Quantity]]*Tradebook_2023_2026[[#This Row],[Price]]),(Tradebook_2023_2026[[#This Row],[Quantity]]*Tradebook_2023_2026[[#This Row],[Price]]))</f>
        <v>4116</v>
      </c>
    </row>
    <row r="486" spans="1:6">
      <c r="A486" t="s">
        <v>75</v>
      </c>
      <c r="B486" s="1">
        <v>45061</v>
      </c>
      <c r="C486" t="s">
        <v>6</v>
      </c>
      <c r="D486">
        <v>91</v>
      </c>
      <c r="E486">
        <v>5.25</v>
      </c>
      <c r="F486">
        <f>IF(Tradebook_2023_2026[[#This Row],[Trade Type]]="buy",-(Tradebook_2023_2026[[#This Row],[Quantity]]*Tradebook_2023_2026[[#This Row],[Price]]),(Tradebook_2023_2026[[#This Row],[Quantity]]*Tradebook_2023_2026[[#This Row],[Price]]))</f>
        <v>477.75</v>
      </c>
    </row>
    <row r="487" spans="1:6">
      <c r="A487" t="s">
        <v>75</v>
      </c>
      <c r="B487" s="1">
        <v>45061</v>
      </c>
      <c r="C487" t="s">
        <v>6</v>
      </c>
      <c r="D487">
        <v>1</v>
      </c>
      <c r="E487">
        <v>5.25</v>
      </c>
      <c r="F487">
        <f>IF(Tradebook_2023_2026[[#This Row],[Trade Type]]="buy",-(Tradebook_2023_2026[[#This Row],[Quantity]]*Tradebook_2023_2026[[#This Row],[Price]]),(Tradebook_2023_2026[[#This Row],[Quantity]]*Tradebook_2023_2026[[#This Row],[Price]]))</f>
        <v>5.25</v>
      </c>
    </row>
    <row r="488" spans="1:6">
      <c r="A488" t="s">
        <v>75</v>
      </c>
      <c r="B488" s="1">
        <v>45061</v>
      </c>
      <c r="C488" t="s">
        <v>6</v>
      </c>
      <c r="D488">
        <v>612</v>
      </c>
      <c r="E488">
        <v>5.25</v>
      </c>
      <c r="F488">
        <f>IF(Tradebook_2023_2026[[#This Row],[Trade Type]]="buy",-(Tradebook_2023_2026[[#This Row],[Quantity]]*Tradebook_2023_2026[[#This Row],[Price]]),(Tradebook_2023_2026[[#This Row],[Quantity]]*Tradebook_2023_2026[[#This Row],[Price]]))</f>
        <v>3213</v>
      </c>
    </row>
    <row r="489" spans="1:6">
      <c r="A489" t="s">
        <v>78</v>
      </c>
      <c r="B489" s="1">
        <v>45061</v>
      </c>
      <c r="C489" t="s">
        <v>6</v>
      </c>
      <c r="D489">
        <v>526</v>
      </c>
      <c r="E489">
        <v>8.75</v>
      </c>
      <c r="F489">
        <f>IF(Tradebook_2023_2026[[#This Row],[Trade Type]]="buy",-(Tradebook_2023_2026[[#This Row],[Quantity]]*Tradebook_2023_2026[[#This Row],[Price]]),(Tradebook_2023_2026[[#This Row],[Quantity]]*Tradebook_2023_2026[[#This Row],[Price]]))</f>
        <v>4602.5</v>
      </c>
    </row>
    <row r="490" spans="1:6">
      <c r="A490" t="s">
        <v>79</v>
      </c>
      <c r="B490" s="1">
        <v>45061</v>
      </c>
      <c r="C490" t="s">
        <v>6</v>
      </c>
      <c r="D490">
        <v>97</v>
      </c>
      <c r="E490">
        <v>730</v>
      </c>
      <c r="F490">
        <f>IF(Tradebook_2023_2026[[#This Row],[Trade Type]]="buy",-(Tradebook_2023_2026[[#This Row],[Quantity]]*Tradebook_2023_2026[[#This Row],[Price]]),(Tradebook_2023_2026[[#This Row],[Quantity]]*Tradebook_2023_2026[[#This Row],[Price]]))</f>
        <v>70810</v>
      </c>
    </row>
    <row r="491" spans="1:6">
      <c r="A491" t="s">
        <v>80</v>
      </c>
      <c r="B491" s="1">
        <v>45061</v>
      </c>
      <c r="C491" t="s">
        <v>6</v>
      </c>
      <c r="D491">
        <v>224</v>
      </c>
      <c r="E491">
        <v>89.8</v>
      </c>
      <c r="F491">
        <f>IF(Tradebook_2023_2026[[#This Row],[Trade Type]]="buy",-(Tradebook_2023_2026[[#This Row],[Quantity]]*Tradebook_2023_2026[[#This Row],[Price]]),(Tradebook_2023_2026[[#This Row],[Quantity]]*Tradebook_2023_2026[[#This Row],[Price]]))</f>
        <v>20115.2</v>
      </c>
    </row>
    <row r="492" spans="1:6">
      <c r="A492" t="s">
        <v>81</v>
      </c>
      <c r="B492" s="1">
        <v>45062</v>
      </c>
      <c r="C492" t="s">
        <v>8</v>
      </c>
      <c r="D492">
        <v>125</v>
      </c>
      <c r="E492">
        <v>560</v>
      </c>
      <c r="F492">
        <f>IF(Tradebook_2023_2026[[#This Row],[Trade Type]]="buy",-(Tradebook_2023_2026[[#This Row],[Quantity]]*Tradebook_2023_2026[[#This Row],[Price]]),(Tradebook_2023_2026[[#This Row],[Quantity]]*Tradebook_2023_2026[[#This Row],[Price]]))</f>
        <v>-70000</v>
      </c>
    </row>
    <row r="493" spans="1:6">
      <c r="A493" t="s">
        <v>82</v>
      </c>
      <c r="B493" s="1">
        <v>45063</v>
      </c>
      <c r="C493" t="s">
        <v>8</v>
      </c>
      <c r="D493">
        <v>3000</v>
      </c>
      <c r="E493">
        <v>17.149999999999999</v>
      </c>
      <c r="F493">
        <f>IF(Tradebook_2023_2026[[#This Row],[Trade Type]]="buy",-(Tradebook_2023_2026[[#This Row],[Quantity]]*Tradebook_2023_2026[[#This Row],[Price]]),(Tradebook_2023_2026[[#This Row],[Quantity]]*Tradebook_2023_2026[[#This Row],[Price]]))</f>
        <v>-51449.999999999993</v>
      </c>
    </row>
    <row r="494" spans="1:6">
      <c r="A494" t="s">
        <v>83</v>
      </c>
      <c r="B494" s="1">
        <v>45065</v>
      </c>
      <c r="C494" t="s">
        <v>8</v>
      </c>
      <c r="D494">
        <v>48</v>
      </c>
      <c r="E494">
        <v>105</v>
      </c>
      <c r="F494">
        <f>IF(Tradebook_2023_2026[[#This Row],[Trade Type]]="buy",-(Tradebook_2023_2026[[#This Row],[Quantity]]*Tradebook_2023_2026[[#This Row],[Price]]),(Tradebook_2023_2026[[#This Row],[Quantity]]*Tradebook_2023_2026[[#This Row],[Price]]))</f>
        <v>-5040</v>
      </c>
    </row>
    <row r="495" spans="1:6">
      <c r="A495" t="s">
        <v>83</v>
      </c>
      <c r="B495" s="1">
        <v>45065</v>
      </c>
      <c r="C495" t="s">
        <v>8</v>
      </c>
      <c r="D495">
        <v>231</v>
      </c>
      <c r="E495">
        <v>105</v>
      </c>
      <c r="F495">
        <f>IF(Tradebook_2023_2026[[#This Row],[Trade Type]]="buy",-(Tradebook_2023_2026[[#This Row],[Quantity]]*Tradebook_2023_2026[[#This Row],[Price]]),(Tradebook_2023_2026[[#This Row],[Quantity]]*Tradebook_2023_2026[[#This Row],[Price]]))</f>
        <v>-24255</v>
      </c>
    </row>
    <row r="496" spans="1:6">
      <c r="A496" t="s">
        <v>83</v>
      </c>
      <c r="B496" s="1">
        <v>45065</v>
      </c>
      <c r="C496" t="s">
        <v>8</v>
      </c>
      <c r="D496">
        <v>243</v>
      </c>
      <c r="E496">
        <v>105</v>
      </c>
      <c r="F496">
        <f>IF(Tradebook_2023_2026[[#This Row],[Trade Type]]="buy",-(Tradebook_2023_2026[[#This Row],[Quantity]]*Tradebook_2023_2026[[#This Row],[Price]]),(Tradebook_2023_2026[[#This Row],[Quantity]]*Tradebook_2023_2026[[#This Row],[Price]]))</f>
        <v>-25515</v>
      </c>
    </row>
    <row r="497" spans="1:6">
      <c r="A497" t="s">
        <v>83</v>
      </c>
      <c r="B497" s="1">
        <v>45065</v>
      </c>
      <c r="C497" t="s">
        <v>8</v>
      </c>
      <c r="D497">
        <v>23</v>
      </c>
      <c r="E497">
        <v>105</v>
      </c>
      <c r="F497">
        <f>IF(Tradebook_2023_2026[[#This Row],[Trade Type]]="buy",-(Tradebook_2023_2026[[#This Row],[Quantity]]*Tradebook_2023_2026[[#This Row],[Price]]),(Tradebook_2023_2026[[#This Row],[Quantity]]*Tradebook_2023_2026[[#This Row],[Price]]))</f>
        <v>-2415</v>
      </c>
    </row>
    <row r="498" spans="1:6">
      <c r="A498" t="s">
        <v>84</v>
      </c>
      <c r="B498" s="1">
        <v>45065</v>
      </c>
      <c r="C498" t="s">
        <v>8</v>
      </c>
      <c r="D498">
        <v>467</v>
      </c>
      <c r="E498">
        <v>141</v>
      </c>
      <c r="F498">
        <f>IF(Tradebook_2023_2026[[#This Row],[Trade Type]]="buy",-(Tradebook_2023_2026[[#This Row],[Quantity]]*Tradebook_2023_2026[[#This Row],[Price]]),(Tradebook_2023_2026[[#This Row],[Quantity]]*Tradebook_2023_2026[[#This Row],[Price]]))</f>
        <v>-65847</v>
      </c>
    </row>
    <row r="499" spans="1:6">
      <c r="A499" t="s">
        <v>85</v>
      </c>
      <c r="B499" s="1">
        <v>45065</v>
      </c>
      <c r="C499" t="s">
        <v>8</v>
      </c>
      <c r="D499">
        <v>275</v>
      </c>
      <c r="E499">
        <v>94.5</v>
      </c>
      <c r="F499">
        <f>IF(Tradebook_2023_2026[[#This Row],[Trade Type]]="buy",-(Tradebook_2023_2026[[#This Row],[Quantity]]*Tradebook_2023_2026[[#This Row],[Price]]),(Tradebook_2023_2026[[#This Row],[Quantity]]*Tradebook_2023_2026[[#This Row],[Price]]))</f>
        <v>-25987.5</v>
      </c>
    </row>
    <row r="500" spans="1:6">
      <c r="A500" t="s">
        <v>54</v>
      </c>
      <c r="B500" s="1">
        <v>45068</v>
      </c>
      <c r="C500" t="s">
        <v>8</v>
      </c>
      <c r="D500">
        <v>142</v>
      </c>
      <c r="E500">
        <v>640</v>
      </c>
      <c r="F500">
        <f>IF(Tradebook_2023_2026[[#This Row],[Trade Type]]="buy",-(Tradebook_2023_2026[[#This Row],[Quantity]]*Tradebook_2023_2026[[#This Row],[Price]]),(Tradebook_2023_2026[[#This Row],[Quantity]]*Tradebook_2023_2026[[#This Row],[Price]]))</f>
        <v>-90880</v>
      </c>
    </row>
    <row r="501" spans="1:6">
      <c r="A501" t="s">
        <v>30</v>
      </c>
      <c r="B501" s="1">
        <v>45069</v>
      </c>
      <c r="C501" t="s">
        <v>8</v>
      </c>
      <c r="D501">
        <v>10</v>
      </c>
      <c r="E501">
        <v>109.5</v>
      </c>
      <c r="F501">
        <f>IF(Tradebook_2023_2026[[#This Row],[Trade Type]]="buy",-(Tradebook_2023_2026[[#This Row],[Quantity]]*Tradebook_2023_2026[[#This Row],[Price]]),(Tradebook_2023_2026[[#This Row],[Quantity]]*Tradebook_2023_2026[[#This Row],[Price]]))</f>
        <v>-1095</v>
      </c>
    </row>
    <row r="502" spans="1:6">
      <c r="A502" t="s">
        <v>30</v>
      </c>
      <c r="B502" s="1">
        <v>45069</v>
      </c>
      <c r="C502" t="s">
        <v>8</v>
      </c>
      <c r="D502">
        <v>8</v>
      </c>
      <c r="E502">
        <v>109.5</v>
      </c>
      <c r="F502">
        <f>IF(Tradebook_2023_2026[[#This Row],[Trade Type]]="buy",-(Tradebook_2023_2026[[#This Row],[Quantity]]*Tradebook_2023_2026[[#This Row],[Price]]),(Tradebook_2023_2026[[#This Row],[Quantity]]*Tradebook_2023_2026[[#This Row],[Price]]))</f>
        <v>-876</v>
      </c>
    </row>
    <row r="503" spans="1:6">
      <c r="A503" t="s">
        <v>30</v>
      </c>
      <c r="B503" s="1">
        <v>45069</v>
      </c>
      <c r="C503" t="s">
        <v>8</v>
      </c>
      <c r="D503">
        <v>318</v>
      </c>
      <c r="E503">
        <v>109.5</v>
      </c>
      <c r="F503">
        <f>IF(Tradebook_2023_2026[[#This Row],[Trade Type]]="buy",-(Tradebook_2023_2026[[#This Row],[Quantity]]*Tradebook_2023_2026[[#This Row],[Price]]),(Tradebook_2023_2026[[#This Row],[Quantity]]*Tradebook_2023_2026[[#This Row],[Price]]))</f>
        <v>-34821</v>
      </c>
    </row>
    <row r="504" spans="1:6">
      <c r="A504" t="s">
        <v>30</v>
      </c>
      <c r="B504" s="1">
        <v>45069</v>
      </c>
      <c r="C504" t="s">
        <v>8</v>
      </c>
      <c r="D504">
        <v>64</v>
      </c>
      <c r="E504">
        <v>109.5</v>
      </c>
      <c r="F504">
        <f>IF(Tradebook_2023_2026[[#This Row],[Trade Type]]="buy",-(Tradebook_2023_2026[[#This Row],[Quantity]]*Tradebook_2023_2026[[#This Row],[Price]]),(Tradebook_2023_2026[[#This Row],[Quantity]]*Tradebook_2023_2026[[#This Row],[Price]]))</f>
        <v>-7008</v>
      </c>
    </row>
    <row r="505" spans="1:6">
      <c r="A505" t="s">
        <v>86</v>
      </c>
      <c r="B505" s="1">
        <v>45069</v>
      </c>
      <c r="C505" t="s">
        <v>6</v>
      </c>
      <c r="D505">
        <v>1600</v>
      </c>
      <c r="E505">
        <v>75</v>
      </c>
      <c r="F505">
        <f>IF(Tradebook_2023_2026[[#This Row],[Trade Type]]="buy",-(Tradebook_2023_2026[[#This Row],[Quantity]]*Tradebook_2023_2026[[#This Row],[Price]]),(Tradebook_2023_2026[[#This Row],[Quantity]]*Tradebook_2023_2026[[#This Row],[Price]]))</f>
        <v>120000</v>
      </c>
    </row>
    <row r="506" spans="1:6">
      <c r="A506" t="s">
        <v>87</v>
      </c>
      <c r="B506" s="1">
        <v>45069</v>
      </c>
      <c r="C506" t="s">
        <v>8</v>
      </c>
      <c r="D506">
        <v>369</v>
      </c>
      <c r="E506">
        <v>51.7</v>
      </c>
      <c r="F506">
        <f>IF(Tradebook_2023_2026[[#This Row],[Trade Type]]="buy",-(Tradebook_2023_2026[[#This Row],[Quantity]]*Tradebook_2023_2026[[#This Row],[Price]]),(Tradebook_2023_2026[[#This Row],[Quantity]]*Tradebook_2023_2026[[#This Row],[Price]]))</f>
        <v>-19077.3</v>
      </c>
    </row>
    <row r="507" spans="1:6">
      <c r="A507" t="s">
        <v>87</v>
      </c>
      <c r="B507" s="1">
        <v>45069</v>
      </c>
      <c r="C507" t="s">
        <v>8</v>
      </c>
      <c r="D507">
        <v>216</v>
      </c>
      <c r="E507">
        <v>51.7</v>
      </c>
      <c r="F507">
        <f>IF(Tradebook_2023_2026[[#This Row],[Trade Type]]="buy",-(Tradebook_2023_2026[[#This Row],[Quantity]]*Tradebook_2023_2026[[#This Row],[Price]]),(Tradebook_2023_2026[[#This Row],[Quantity]]*Tradebook_2023_2026[[#This Row],[Price]]))</f>
        <v>-11167.2</v>
      </c>
    </row>
    <row r="508" spans="1:6">
      <c r="A508" t="s">
        <v>88</v>
      </c>
      <c r="B508" s="1">
        <v>45071</v>
      </c>
      <c r="C508" t="s">
        <v>6</v>
      </c>
      <c r="D508">
        <v>46</v>
      </c>
      <c r="E508">
        <v>545</v>
      </c>
      <c r="F508">
        <f>IF(Tradebook_2023_2026[[#This Row],[Trade Type]]="buy",-(Tradebook_2023_2026[[#This Row],[Quantity]]*Tradebook_2023_2026[[#This Row],[Price]]),(Tradebook_2023_2026[[#This Row],[Quantity]]*Tradebook_2023_2026[[#This Row],[Price]]))</f>
        <v>25070</v>
      </c>
    </row>
    <row r="509" spans="1:6">
      <c r="A509" t="s">
        <v>88</v>
      </c>
      <c r="B509" s="1">
        <v>45071</v>
      </c>
      <c r="C509" t="s">
        <v>6</v>
      </c>
      <c r="D509">
        <v>40</v>
      </c>
      <c r="E509">
        <v>545.5</v>
      </c>
      <c r="F509">
        <f>IF(Tradebook_2023_2026[[#This Row],[Trade Type]]="buy",-(Tradebook_2023_2026[[#This Row],[Quantity]]*Tradebook_2023_2026[[#This Row],[Price]]),(Tradebook_2023_2026[[#This Row],[Quantity]]*Tradebook_2023_2026[[#This Row],[Price]]))</f>
        <v>21820</v>
      </c>
    </row>
    <row r="510" spans="1:6">
      <c r="A510" t="s">
        <v>88</v>
      </c>
      <c r="B510" s="1">
        <v>45071</v>
      </c>
      <c r="C510" t="s">
        <v>6</v>
      </c>
      <c r="D510">
        <v>63</v>
      </c>
      <c r="E510">
        <v>545.45000000000005</v>
      </c>
      <c r="F510">
        <f>IF(Tradebook_2023_2026[[#This Row],[Trade Type]]="buy",-(Tradebook_2023_2026[[#This Row],[Quantity]]*Tradebook_2023_2026[[#This Row],[Price]]),(Tradebook_2023_2026[[#This Row],[Quantity]]*Tradebook_2023_2026[[#This Row],[Price]]))</f>
        <v>34363.350000000006</v>
      </c>
    </row>
    <row r="511" spans="1:6">
      <c r="A511" t="s">
        <v>88</v>
      </c>
      <c r="B511" s="1">
        <v>45071</v>
      </c>
      <c r="C511" t="s">
        <v>6</v>
      </c>
      <c r="D511">
        <v>13</v>
      </c>
      <c r="E511">
        <v>545.20000000000005</v>
      </c>
      <c r="F511">
        <f>IF(Tradebook_2023_2026[[#This Row],[Trade Type]]="buy",-(Tradebook_2023_2026[[#This Row],[Quantity]]*Tradebook_2023_2026[[#This Row],[Price]]),(Tradebook_2023_2026[[#This Row],[Quantity]]*Tradebook_2023_2026[[#This Row],[Price]]))</f>
        <v>7087.6</v>
      </c>
    </row>
    <row r="512" spans="1:6">
      <c r="A512" t="s">
        <v>88</v>
      </c>
      <c r="B512" s="1">
        <v>45071</v>
      </c>
      <c r="C512" t="s">
        <v>6</v>
      </c>
      <c r="D512">
        <v>104</v>
      </c>
      <c r="E512">
        <v>545.15</v>
      </c>
      <c r="F512">
        <f>IF(Tradebook_2023_2026[[#This Row],[Trade Type]]="buy",-(Tradebook_2023_2026[[#This Row],[Quantity]]*Tradebook_2023_2026[[#This Row],[Price]]),(Tradebook_2023_2026[[#This Row],[Quantity]]*Tradebook_2023_2026[[#This Row],[Price]]))</f>
        <v>56695.6</v>
      </c>
    </row>
    <row r="513" spans="1:6">
      <c r="A513" t="s">
        <v>88</v>
      </c>
      <c r="B513" s="1">
        <v>45071</v>
      </c>
      <c r="C513" t="s">
        <v>6</v>
      </c>
      <c r="D513">
        <v>46</v>
      </c>
      <c r="E513">
        <v>545.04999999999995</v>
      </c>
      <c r="F513">
        <f>IF(Tradebook_2023_2026[[#This Row],[Trade Type]]="buy",-(Tradebook_2023_2026[[#This Row],[Quantity]]*Tradebook_2023_2026[[#This Row],[Price]]),(Tradebook_2023_2026[[#This Row],[Quantity]]*Tradebook_2023_2026[[#This Row],[Price]]))</f>
        <v>25072.3</v>
      </c>
    </row>
    <row r="514" spans="1:6">
      <c r="A514" t="s">
        <v>88</v>
      </c>
      <c r="B514" s="1">
        <v>45071</v>
      </c>
      <c r="C514" t="s">
        <v>6</v>
      </c>
      <c r="D514">
        <v>50</v>
      </c>
      <c r="E514">
        <v>545</v>
      </c>
      <c r="F514">
        <f>IF(Tradebook_2023_2026[[#This Row],[Trade Type]]="buy",-(Tradebook_2023_2026[[#This Row],[Quantity]]*Tradebook_2023_2026[[#This Row],[Price]]),(Tradebook_2023_2026[[#This Row],[Quantity]]*Tradebook_2023_2026[[#This Row],[Price]]))</f>
        <v>27250</v>
      </c>
    </row>
    <row r="515" spans="1:6">
      <c r="A515" t="s">
        <v>88</v>
      </c>
      <c r="B515" s="1">
        <v>45071</v>
      </c>
      <c r="C515" t="s">
        <v>6</v>
      </c>
      <c r="D515">
        <v>10</v>
      </c>
      <c r="E515">
        <v>545.29999999999995</v>
      </c>
      <c r="F515">
        <f>IF(Tradebook_2023_2026[[#This Row],[Trade Type]]="buy",-(Tradebook_2023_2026[[#This Row],[Quantity]]*Tradebook_2023_2026[[#This Row],[Price]]),(Tradebook_2023_2026[[#This Row],[Quantity]]*Tradebook_2023_2026[[#This Row],[Price]]))</f>
        <v>5453</v>
      </c>
    </row>
    <row r="516" spans="1:6">
      <c r="A516" t="s">
        <v>88</v>
      </c>
      <c r="B516" s="1">
        <v>45071</v>
      </c>
      <c r="C516" t="s">
        <v>6</v>
      </c>
      <c r="D516">
        <v>222</v>
      </c>
      <c r="E516">
        <v>545</v>
      </c>
      <c r="F516">
        <f>IF(Tradebook_2023_2026[[#This Row],[Trade Type]]="buy",-(Tradebook_2023_2026[[#This Row],[Quantity]]*Tradebook_2023_2026[[#This Row],[Price]]),(Tradebook_2023_2026[[#This Row],[Quantity]]*Tradebook_2023_2026[[#This Row],[Price]]))</f>
        <v>120990</v>
      </c>
    </row>
    <row r="517" spans="1:6">
      <c r="A517" t="s">
        <v>89</v>
      </c>
      <c r="B517" s="1">
        <v>45071</v>
      </c>
      <c r="C517" t="s">
        <v>6</v>
      </c>
      <c r="D517">
        <v>49</v>
      </c>
      <c r="E517">
        <v>39.9</v>
      </c>
      <c r="F517">
        <f>IF(Tradebook_2023_2026[[#This Row],[Trade Type]]="buy",-(Tradebook_2023_2026[[#This Row],[Quantity]]*Tradebook_2023_2026[[#This Row],[Price]]),(Tradebook_2023_2026[[#This Row],[Quantity]]*Tradebook_2023_2026[[#This Row],[Price]]))</f>
        <v>1955.1</v>
      </c>
    </row>
    <row r="518" spans="1:6">
      <c r="A518" t="s">
        <v>90</v>
      </c>
      <c r="B518" s="1">
        <v>45071</v>
      </c>
      <c r="C518" t="s">
        <v>8</v>
      </c>
      <c r="D518">
        <v>105</v>
      </c>
      <c r="E518">
        <v>177</v>
      </c>
      <c r="F518">
        <f>IF(Tradebook_2023_2026[[#This Row],[Trade Type]]="buy",-(Tradebook_2023_2026[[#This Row],[Quantity]]*Tradebook_2023_2026[[#This Row],[Price]]),(Tradebook_2023_2026[[#This Row],[Quantity]]*Tradebook_2023_2026[[#This Row],[Price]]))</f>
        <v>-18585</v>
      </c>
    </row>
    <row r="519" spans="1:6">
      <c r="A519" t="s">
        <v>90</v>
      </c>
      <c r="B519" s="1">
        <v>45071</v>
      </c>
      <c r="C519" t="s">
        <v>8</v>
      </c>
      <c r="D519">
        <v>515</v>
      </c>
      <c r="E519">
        <v>177</v>
      </c>
      <c r="F519">
        <f>IF(Tradebook_2023_2026[[#This Row],[Trade Type]]="buy",-(Tradebook_2023_2026[[#This Row],[Quantity]]*Tradebook_2023_2026[[#This Row],[Price]]),(Tradebook_2023_2026[[#This Row],[Quantity]]*Tradebook_2023_2026[[#This Row],[Price]]))</f>
        <v>-91155</v>
      </c>
    </row>
    <row r="520" spans="1:6">
      <c r="A520" t="s">
        <v>90</v>
      </c>
      <c r="B520" s="1">
        <v>45071</v>
      </c>
      <c r="C520" t="s">
        <v>8</v>
      </c>
      <c r="D520">
        <v>35</v>
      </c>
      <c r="E520">
        <v>177</v>
      </c>
      <c r="F520">
        <f>IF(Tradebook_2023_2026[[#This Row],[Trade Type]]="buy",-(Tradebook_2023_2026[[#This Row],[Quantity]]*Tradebook_2023_2026[[#This Row],[Price]]),(Tradebook_2023_2026[[#This Row],[Quantity]]*Tradebook_2023_2026[[#This Row],[Price]]))</f>
        <v>-6195</v>
      </c>
    </row>
    <row r="521" spans="1:6">
      <c r="A521" t="s">
        <v>90</v>
      </c>
      <c r="B521" s="1">
        <v>45071</v>
      </c>
      <c r="C521" t="s">
        <v>8</v>
      </c>
      <c r="D521">
        <v>2</v>
      </c>
      <c r="E521">
        <v>177</v>
      </c>
      <c r="F521">
        <f>IF(Tradebook_2023_2026[[#This Row],[Trade Type]]="buy",-(Tradebook_2023_2026[[#This Row],[Quantity]]*Tradebook_2023_2026[[#This Row],[Price]]),(Tradebook_2023_2026[[#This Row],[Quantity]]*Tradebook_2023_2026[[#This Row],[Price]]))</f>
        <v>-354</v>
      </c>
    </row>
    <row r="522" spans="1:6">
      <c r="A522" t="s">
        <v>90</v>
      </c>
      <c r="B522" s="1">
        <v>45071</v>
      </c>
      <c r="C522" t="s">
        <v>8</v>
      </c>
      <c r="D522">
        <v>33</v>
      </c>
      <c r="E522">
        <v>177</v>
      </c>
      <c r="F522">
        <f>IF(Tradebook_2023_2026[[#This Row],[Trade Type]]="buy",-(Tradebook_2023_2026[[#This Row],[Quantity]]*Tradebook_2023_2026[[#This Row],[Price]]),(Tradebook_2023_2026[[#This Row],[Quantity]]*Tradebook_2023_2026[[#This Row],[Price]]))</f>
        <v>-5841</v>
      </c>
    </row>
    <row r="523" spans="1:6">
      <c r="A523" t="s">
        <v>90</v>
      </c>
      <c r="B523" s="1">
        <v>45071</v>
      </c>
      <c r="C523" t="s">
        <v>8</v>
      </c>
      <c r="D523">
        <v>51</v>
      </c>
      <c r="E523">
        <v>177</v>
      </c>
      <c r="F523">
        <f>IF(Tradebook_2023_2026[[#This Row],[Trade Type]]="buy",-(Tradebook_2023_2026[[#This Row],[Quantity]]*Tradebook_2023_2026[[#This Row],[Price]]),(Tradebook_2023_2026[[#This Row],[Quantity]]*Tradebook_2023_2026[[#This Row],[Price]]))</f>
        <v>-9027</v>
      </c>
    </row>
    <row r="524" spans="1:6">
      <c r="A524" t="s">
        <v>77</v>
      </c>
      <c r="B524" s="1">
        <v>45071</v>
      </c>
      <c r="C524" t="s">
        <v>8</v>
      </c>
      <c r="D524">
        <v>10</v>
      </c>
      <c r="E524">
        <v>246.85</v>
      </c>
      <c r="F524">
        <f>IF(Tradebook_2023_2026[[#This Row],[Trade Type]]="buy",-(Tradebook_2023_2026[[#This Row],[Quantity]]*Tradebook_2023_2026[[#This Row],[Price]]),(Tradebook_2023_2026[[#This Row],[Quantity]]*Tradebook_2023_2026[[#This Row],[Price]]))</f>
        <v>-2468.5</v>
      </c>
    </row>
    <row r="525" spans="1:6">
      <c r="A525" t="s">
        <v>77</v>
      </c>
      <c r="B525" s="1">
        <v>45071</v>
      </c>
      <c r="C525" t="s">
        <v>8</v>
      </c>
      <c r="D525">
        <v>2</v>
      </c>
      <c r="E525">
        <v>246.85</v>
      </c>
      <c r="F525">
        <f>IF(Tradebook_2023_2026[[#This Row],[Trade Type]]="buy",-(Tradebook_2023_2026[[#This Row],[Quantity]]*Tradebook_2023_2026[[#This Row],[Price]]),(Tradebook_2023_2026[[#This Row],[Quantity]]*Tradebook_2023_2026[[#This Row],[Price]]))</f>
        <v>-493.7</v>
      </c>
    </row>
    <row r="526" spans="1:6">
      <c r="A526" t="s">
        <v>77</v>
      </c>
      <c r="B526" s="1">
        <v>45071</v>
      </c>
      <c r="C526" t="s">
        <v>8</v>
      </c>
      <c r="D526">
        <v>28</v>
      </c>
      <c r="E526">
        <v>246.75</v>
      </c>
      <c r="F526">
        <f>IF(Tradebook_2023_2026[[#This Row],[Trade Type]]="buy",-(Tradebook_2023_2026[[#This Row],[Quantity]]*Tradebook_2023_2026[[#This Row],[Price]]),(Tradebook_2023_2026[[#This Row],[Quantity]]*Tradebook_2023_2026[[#This Row],[Price]]))</f>
        <v>-6909</v>
      </c>
    </row>
    <row r="527" spans="1:6">
      <c r="A527" t="s">
        <v>77</v>
      </c>
      <c r="B527" s="1">
        <v>45071</v>
      </c>
      <c r="C527" t="s">
        <v>8</v>
      </c>
      <c r="D527">
        <v>27</v>
      </c>
      <c r="E527">
        <v>246.8</v>
      </c>
      <c r="F527">
        <f>IF(Tradebook_2023_2026[[#This Row],[Trade Type]]="buy",-(Tradebook_2023_2026[[#This Row],[Quantity]]*Tradebook_2023_2026[[#This Row],[Price]]),(Tradebook_2023_2026[[#This Row],[Quantity]]*Tradebook_2023_2026[[#This Row],[Price]]))</f>
        <v>-6663.6</v>
      </c>
    </row>
    <row r="528" spans="1:6">
      <c r="A528" t="s">
        <v>77</v>
      </c>
      <c r="B528" s="1">
        <v>45071</v>
      </c>
      <c r="C528" t="s">
        <v>8</v>
      </c>
      <c r="D528">
        <v>2</v>
      </c>
      <c r="E528">
        <v>246.75</v>
      </c>
      <c r="F528">
        <f>IF(Tradebook_2023_2026[[#This Row],[Trade Type]]="buy",-(Tradebook_2023_2026[[#This Row],[Quantity]]*Tradebook_2023_2026[[#This Row],[Price]]),(Tradebook_2023_2026[[#This Row],[Quantity]]*Tradebook_2023_2026[[#This Row],[Price]]))</f>
        <v>-493.5</v>
      </c>
    </row>
    <row r="529" spans="1:6">
      <c r="A529" t="s">
        <v>77</v>
      </c>
      <c r="B529" s="1">
        <v>45071</v>
      </c>
      <c r="C529" t="s">
        <v>8</v>
      </c>
      <c r="D529">
        <v>4</v>
      </c>
      <c r="E529">
        <v>246.75</v>
      </c>
      <c r="F529">
        <f>IF(Tradebook_2023_2026[[#This Row],[Trade Type]]="buy",-(Tradebook_2023_2026[[#This Row],[Quantity]]*Tradebook_2023_2026[[#This Row],[Price]]),(Tradebook_2023_2026[[#This Row],[Quantity]]*Tradebook_2023_2026[[#This Row],[Price]]))</f>
        <v>-987</v>
      </c>
    </row>
    <row r="530" spans="1:6">
      <c r="A530" t="s">
        <v>77</v>
      </c>
      <c r="B530" s="1">
        <v>45071</v>
      </c>
      <c r="C530" t="s">
        <v>8</v>
      </c>
      <c r="D530">
        <v>20</v>
      </c>
      <c r="E530">
        <v>246.75</v>
      </c>
      <c r="F530">
        <f>IF(Tradebook_2023_2026[[#This Row],[Trade Type]]="buy",-(Tradebook_2023_2026[[#This Row],[Quantity]]*Tradebook_2023_2026[[#This Row],[Price]]),(Tradebook_2023_2026[[#This Row],[Quantity]]*Tradebook_2023_2026[[#This Row],[Price]]))</f>
        <v>-4935</v>
      </c>
    </row>
    <row r="531" spans="1:6">
      <c r="A531" t="s">
        <v>77</v>
      </c>
      <c r="B531" s="1">
        <v>45071</v>
      </c>
      <c r="C531" t="s">
        <v>8</v>
      </c>
      <c r="D531">
        <v>10</v>
      </c>
      <c r="E531">
        <v>246.75</v>
      </c>
      <c r="F531">
        <f>IF(Tradebook_2023_2026[[#This Row],[Trade Type]]="buy",-(Tradebook_2023_2026[[#This Row],[Quantity]]*Tradebook_2023_2026[[#This Row],[Price]]),(Tradebook_2023_2026[[#This Row],[Quantity]]*Tradebook_2023_2026[[#This Row],[Price]]))</f>
        <v>-2467.5</v>
      </c>
    </row>
    <row r="532" spans="1:6">
      <c r="A532" t="s">
        <v>77</v>
      </c>
      <c r="B532" s="1">
        <v>45071</v>
      </c>
      <c r="C532" t="s">
        <v>8</v>
      </c>
      <c r="D532">
        <v>42</v>
      </c>
      <c r="E532">
        <v>246.85</v>
      </c>
      <c r="F532">
        <f>IF(Tradebook_2023_2026[[#This Row],[Trade Type]]="buy",-(Tradebook_2023_2026[[#This Row],[Quantity]]*Tradebook_2023_2026[[#This Row],[Price]]),(Tradebook_2023_2026[[#This Row],[Quantity]]*Tradebook_2023_2026[[#This Row],[Price]]))</f>
        <v>-10367.699999999999</v>
      </c>
    </row>
    <row r="533" spans="1:6">
      <c r="A533" t="s">
        <v>77</v>
      </c>
      <c r="B533" s="1">
        <v>45071</v>
      </c>
      <c r="C533" t="s">
        <v>8</v>
      </c>
      <c r="D533">
        <v>20</v>
      </c>
      <c r="E533">
        <v>246.85</v>
      </c>
      <c r="F533">
        <f>IF(Tradebook_2023_2026[[#This Row],[Trade Type]]="buy",-(Tradebook_2023_2026[[#This Row],[Quantity]]*Tradebook_2023_2026[[#This Row],[Price]]),(Tradebook_2023_2026[[#This Row],[Quantity]]*Tradebook_2023_2026[[#This Row],[Price]]))</f>
        <v>-4937</v>
      </c>
    </row>
    <row r="534" spans="1:6">
      <c r="A534" t="s">
        <v>91</v>
      </c>
      <c r="B534" s="1">
        <v>45071</v>
      </c>
      <c r="C534" t="s">
        <v>6</v>
      </c>
      <c r="D534">
        <v>97</v>
      </c>
      <c r="E534">
        <v>57</v>
      </c>
      <c r="F534">
        <f>IF(Tradebook_2023_2026[[#This Row],[Trade Type]]="buy",-(Tradebook_2023_2026[[#This Row],[Quantity]]*Tradebook_2023_2026[[#This Row],[Price]]),(Tradebook_2023_2026[[#This Row],[Quantity]]*Tradebook_2023_2026[[#This Row],[Price]]))</f>
        <v>5529</v>
      </c>
    </row>
    <row r="535" spans="1:6">
      <c r="A535" t="s">
        <v>23</v>
      </c>
      <c r="B535" s="1">
        <v>45071</v>
      </c>
      <c r="C535" t="s">
        <v>8</v>
      </c>
      <c r="D535">
        <v>23</v>
      </c>
      <c r="E535">
        <v>678</v>
      </c>
      <c r="F535">
        <f>IF(Tradebook_2023_2026[[#This Row],[Trade Type]]="buy",-(Tradebook_2023_2026[[#This Row],[Quantity]]*Tradebook_2023_2026[[#This Row],[Price]]),(Tradebook_2023_2026[[#This Row],[Quantity]]*Tradebook_2023_2026[[#This Row],[Price]]))</f>
        <v>-15594</v>
      </c>
    </row>
    <row r="536" spans="1:6">
      <c r="A536" t="s">
        <v>23</v>
      </c>
      <c r="B536" s="1">
        <v>45071</v>
      </c>
      <c r="C536" t="s">
        <v>8</v>
      </c>
      <c r="D536">
        <v>30</v>
      </c>
      <c r="E536">
        <v>677.9</v>
      </c>
      <c r="F536">
        <f>IF(Tradebook_2023_2026[[#This Row],[Trade Type]]="buy",-(Tradebook_2023_2026[[#This Row],[Quantity]]*Tradebook_2023_2026[[#This Row],[Price]]),(Tradebook_2023_2026[[#This Row],[Quantity]]*Tradebook_2023_2026[[#This Row],[Price]]))</f>
        <v>-20337</v>
      </c>
    </row>
    <row r="537" spans="1:6">
      <c r="A537" t="s">
        <v>92</v>
      </c>
      <c r="B537" s="1">
        <v>45075</v>
      </c>
      <c r="C537" t="s">
        <v>8</v>
      </c>
      <c r="D537">
        <v>80</v>
      </c>
      <c r="E537">
        <v>508</v>
      </c>
      <c r="F537">
        <f>IF(Tradebook_2023_2026[[#This Row],[Trade Type]]="buy",-(Tradebook_2023_2026[[#This Row],[Quantity]]*Tradebook_2023_2026[[#This Row],[Price]]),(Tradebook_2023_2026[[#This Row],[Quantity]]*Tradebook_2023_2026[[#This Row],[Price]]))</f>
        <v>-40640</v>
      </c>
    </row>
    <row r="538" spans="1:6">
      <c r="A538" t="s">
        <v>93</v>
      </c>
      <c r="B538" s="1">
        <v>45079</v>
      </c>
      <c r="C538" t="s">
        <v>6</v>
      </c>
      <c r="D538">
        <v>1000</v>
      </c>
      <c r="E538">
        <v>20.51</v>
      </c>
      <c r="F538">
        <f>IF(Tradebook_2023_2026[[#This Row],[Trade Type]]="buy",-(Tradebook_2023_2026[[#This Row],[Quantity]]*Tradebook_2023_2026[[#This Row],[Price]]),(Tradebook_2023_2026[[#This Row],[Quantity]]*Tradebook_2023_2026[[#This Row],[Price]]))</f>
        <v>20510</v>
      </c>
    </row>
    <row r="539" spans="1:6">
      <c r="A539" t="s">
        <v>94</v>
      </c>
      <c r="B539" s="1">
        <v>45079</v>
      </c>
      <c r="C539" t="s">
        <v>6</v>
      </c>
      <c r="D539">
        <v>3424</v>
      </c>
      <c r="E539">
        <v>3.19</v>
      </c>
      <c r="F539">
        <f>IF(Tradebook_2023_2026[[#This Row],[Trade Type]]="buy",-(Tradebook_2023_2026[[#This Row],[Quantity]]*Tradebook_2023_2026[[#This Row],[Price]]),(Tradebook_2023_2026[[#This Row],[Quantity]]*Tradebook_2023_2026[[#This Row],[Price]]))</f>
        <v>10922.56</v>
      </c>
    </row>
    <row r="540" spans="1:6">
      <c r="A540" t="s">
        <v>95</v>
      </c>
      <c r="B540" s="1">
        <v>45082</v>
      </c>
      <c r="C540" t="s">
        <v>6</v>
      </c>
      <c r="D540">
        <v>54</v>
      </c>
      <c r="E540">
        <v>250.1</v>
      </c>
      <c r="F540">
        <f>IF(Tradebook_2023_2026[[#This Row],[Trade Type]]="buy",-(Tradebook_2023_2026[[#This Row],[Quantity]]*Tradebook_2023_2026[[#This Row],[Price]]),(Tradebook_2023_2026[[#This Row],[Quantity]]*Tradebook_2023_2026[[#This Row],[Price]]))</f>
        <v>13505.4</v>
      </c>
    </row>
    <row r="541" spans="1:6">
      <c r="A541" t="s">
        <v>95</v>
      </c>
      <c r="B541" s="1">
        <v>45082</v>
      </c>
      <c r="C541" t="s">
        <v>6</v>
      </c>
      <c r="D541">
        <v>28</v>
      </c>
      <c r="E541">
        <v>250.35</v>
      </c>
      <c r="F541">
        <f>IF(Tradebook_2023_2026[[#This Row],[Trade Type]]="buy",-(Tradebook_2023_2026[[#This Row],[Quantity]]*Tradebook_2023_2026[[#This Row],[Price]]),(Tradebook_2023_2026[[#This Row],[Quantity]]*Tradebook_2023_2026[[#This Row],[Price]]))</f>
        <v>7009.8</v>
      </c>
    </row>
    <row r="542" spans="1:6">
      <c r="A542" t="s">
        <v>95</v>
      </c>
      <c r="B542" s="1">
        <v>45082</v>
      </c>
      <c r="C542" t="s">
        <v>6</v>
      </c>
      <c r="D542">
        <v>28</v>
      </c>
      <c r="E542">
        <v>250.35</v>
      </c>
      <c r="F542">
        <f>IF(Tradebook_2023_2026[[#This Row],[Trade Type]]="buy",-(Tradebook_2023_2026[[#This Row],[Quantity]]*Tradebook_2023_2026[[#This Row],[Price]]),(Tradebook_2023_2026[[#This Row],[Quantity]]*Tradebook_2023_2026[[#This Row],[Price]]))</f>
        <v>7009.8</v>
      </c>
    </row>
    <row r="543" spans="1:6">
      <c r="A543" t="s">
        <v>95</v>
      </c>
      <c r="B543" s="1">
        <v>45082</v>
      </c>
      <c r="C543" t="s">
        <v>6</v>
      </c>
      <c r="D543">
        <v>59</v>
      </c>
      <c r="E543">
        <v>250.35</v>
      </c>
      <c r="F543">
        <f>IF(Tradebook_2023_2026[[#This Row],[Trade Type]]="buy",-(Tradebook_2023_2026[[#This Row],[Quantity]]*Tradebook_2023_2026[[#This Row],[Price]]),(Tradebook_2023_2026[[#This Row],[Quantity]]*Tradebook_2023_2026[[#This Row],[Price]]))</f>
        <v>14770.65</v>
      </c>
    </row>
    <row r="544" spans="1:6">
      <c r="A544" t="s">
        <v>96</v>
      </c>
      <c r="B544" s="1">
        <v>45082</v>
      </c>
      <c r="C544" t="s">
        <v>6</v>
      </c>
      <c r="D544">
        <v>200</v>
      </c>
      <c r="E544">
        <v>59</v>
      </c>
      <c r="F544">
        <f>IF(Tradebook_2023_2026[[#This Row],[Trade Type]]="buy",-(Tradebook_2023_2026[[#This Row],[Quantity]]*Tradebook_2023_2026[[#This Row],[Price]]),(Tradebook_2023_2026[[#This Row],[Quantity]]*Tradebook_2023_2026[[#This Row],[Price]]))</f>
        <v>11800</v>
      </c>
    </row>
    <row r="545" spans="1:6">
      <c r="A545" t="s">
        <v>97</v>
      </c>
      <c r="B545" s="1">
        <v>45083</v>
      </c>
      <c r="C545" t="s">
        <v>8</v>
      </c>
      <c r="D545">
        <v>150</v>
      </c>
      <c r="E545">
        <v>40</v>
      </c>
      <c r="F545">
        <f>IF(Tradebook_2023_2026[[#This Row],[Trade Type]]="buy",-(Tradebook_2023_2026[[#This Row],[Quantity]]*Tradebook_2023_2026[[#This Row],[Price]]),(Tradebook_2023_2026[[#This Row],[Quantity]]*Tradebook_2023_2026[[#This Row],[Price]]))</f>
        <v>-6000</v>
      </c>
    </row>
    <row r="546" spans="1:6">
      <c r="A546" t="s">
        <v>97</v>
      </c>
      <c r="B546" s="1">
        <v>45083</v>
      </c>
      <c r="C546" t="s">
        <v>8</v>
      </c>
      <c r="D546">
        <v>295</v>
      </c>
      <c r="E546">
        <v>40</v>
      </c>
      <c r="F546">
        <f>IF(Tradebook_2023_2026[[#This Row],[Trade Type]]="buy",-(Tradebook_2023_2026[[#This Row],[Quantity]]*Tradebook_2023_2026[[#This Row],[Price]]),(Tradebook_2023_2026[[#This Row],[Quantity]]*Tradebook_2023_2026[[#This Row],[Price]]))</f>
        <v>-11800</v>
      </c>
    </row>
    <row r="547" spans="1:6">
      <c r="A547" t="s">
        <v>98</v>
      </c>
      <c r="B547" s="1">
        <v>45089</v>
      </c>
      <c r="C547" t="s">
        <v>8</v>
      </c>
      <c r="D547">
        <v>93</v>
      </c>
      <c r="E547">
        <v>13.2</v>
      </c>
      <c r="F547">
        <f>IF(Tradebook_2023_2026[[#This Row],[Trade Type]]="buy",-(Tradebook_2023_2026[[#This Row],[Quantity]]*Tradebook_2023_2026[[#This Row],[Price]]),(Tradebook_2023_2026[[#This Row],[Quantity]]*Tradebook_2023_2026[[#This Row],[Price]]))</f>
        <v>-1227.5999999999999</v>
      </c>
    </row>
    <row r="548" spans="1:6">
      <c r="A548" t="s">
        <v>36</v>
      </c>
      <c r="B548" s="1">
        <v>45089</v>
      </c>
      <c r="C548" t="s">
        <v>8</v>
      </c>
      <c r="D548">
        <v>53</v>
      </c>
      <c r="E548">
        <v>18.5</v>
      </c>
      <c r="F548">
        <f>IF(Tradebook_2023_2026[[#This Row],[Trade Type]]="buy",-(Tradebook_2023_2026[[#This Row],[Quantity]]*Tradebook_2023_2026[[#This Row],[Price]]),(Tradebook_2023_2026[[#This Row],[Quantity]]*Tradebook_2023_2026[[#This Row],[Price]]))</f>
        <v>-980.5</v>
      </c>
    </row>
    <row r="549" spans="1:6">
      <c r="A549" t="s">
        <v>36</v>
      </c>
      <c r="B549" s="1">
        <v>45089</v>
      </c>
      <c r="C549" t="s">
        <v>8</v>
      </c>
      <c r="D549">
        <v>4947</v>
      </c>
      <c r="E549">
        <v>18.5</v>
      </c>
      <c r="F549">
        <f>IF(Tradebook_2023_2026[[#This Row],[Trade Type]]="buy",-(Tradebook_2023_2026[[#This Row],[Quantity]]*Tradebook_2023_2026[[#This Row],[Price]]),(Tradebook_2023_2026[[#This Row],[Quantity]]*Tradebook_2023_2026[[#This Row],[Price]]))</f>
        <v>-91519.5</v>
      </c>
    </row>
    <row r="550" spans="1:6">
      <c r="A550" t="s">
        <v>84</v>
      </c>
      <c r="B550" s="1">
        <v>45092</v>
      </c>
      <c r="C550" t="s">
        <v>8</v>
      </c>
      <c r="D550">
        <v>400</v>
      </c>
      <c r="E550">
        <v>168</v>
      </c>
      <c r="F550">
        <f>IF(Tradebook_2023_2026[[#This Row],[Trade Type]]="buy",-(Tradebook_2023_2026[[#This Row],[Quantity]]*Tradebook_2023_2026[[#This Row],[Price]]),(Tradebook_2023_2026[[#This Row],[Quantity]]*Tradebook_2023_2026[[#This Row],[Price]]))</f>
        <v>-67200</v>
      </c>
    </row>
    <row r="551" spans="1:6">
      <c r="A551" t="s">
        <v>97</v>
      </c>
      <c r="B551" s="1">
        <v>45097</v>
      </c>
      <c r="C551" t="s">
        <v>8</v>
      </c>
      <c r="D551">
        <v>70</v>
      </c>
      <c r="E551">
        <v>37.06</v>
      </c>
      <c r="F551">
        <f>IF(Tradebook_2023_2026[[#This Row],[Trade Type]]="buy",-(Tradebook_2023_2026[[#This Row],[Quantity]]*Tradebook_2023_2026[[#This Row],[Price]]),(Tradebook_2023_2026[[#This Row],[Quantity]]*Tradebook_2023_2026[[#This Row],[Price]]))</f>
        <v>-2594.2000000000003</v>
      </c>
    </row>
    <row r="552" spans="1:6">
      <c r="A552" t="s">
        <v>97</v>
      </c>
      <c r="B552" s="1">
        <v>45097</v>
      </c>
      <c r="C552" t="s">
        <v>8</v>
      </c>
      <c r="D552">
        <v>20</v>
      </c>
      <c r="E552">
        <v>38.200000000000003</v>
      </c>
      <c r="F552">
        <f>IF(Tradebook_2023_2026[[#This Row],[Trade Type]]="buy",-(Tradebook_2023_2026[[#This Row],[Quantity]]*Tradebook_2023_2026[[#This Row],[Price]]),(Tradebook_2023_2026[[#This Row],[Quantity]]*Tradebook_2023_2026[[#This Row],[Price]]))</f>
        <v>-764</v>
      </c>
    </row>
    <row r="553" spans="1:6">
      <c r="A553" t="s">
        <v>97</v>
      </c>
      <c r="B553" s="1">
        <v>45097</v>
      </c>
      <c r="C553" t="s">
        <v>8</v>
      </c>
      <c r="D553">
        <v>410</v>
      </c>
      <c r="E553">
        <v>38.200000000000003</v>
      </c>
      <c r="F553">
        <f>IF(Tradebook_2023_2026[[#This Row],[Trade Type]]="buy",-(Tradebook_2023_2026[[#This Row],[Quantity]]*Tradebook_2023_2026[[#This Row],[Price]]),(Tradebook_2023_2026[[#This Row],[Quantity]]*Tradebook_2023_2026[[#This Row],[Price]]))</f>
        <v>-15662.000000000002</v>
      </c>
    </row>
    <row r="554" spans="1:6">
      <c r="A554" t="s">
        <v>64</v>
      </c>
      <c r="B554" s="1">
        <v>45100</v>
      </c>
      <c r="C554" t="s">
        <v>8</v>
      </c>
      <c r="D554">
        <v>325</v>
      </c>
      <c r="E554">
        <v>39</v>
      </c>
      <c r="F554">
        <f>IF(Tradebook_2023_2026[[#This Row],[Trade Type]]="buy",-(Tradebook_2023_2026[[#This Row],[Quantity]]*Tradebook_2023_2026[[#This Row],[Price]]),(Tradebook_2023_2026[[#This Row],[Quantity]]*Tradebook_2023_2026[[#This Row],[Price]]))</f>
        <v>-12675</v>
      </c>
    </row>
    <row r="555" spans="1:6">
      <c r="A555" t="s">
        <v>23</v>
      </c>
      <c r="B555" s="1">
        <v>45103</v>
      </c>
      <c r="C555" t="s">
        <v>8</v>
      </c>
      <c r="D555">
        <v>29</v>
      </c>
      <c r="E555">
        <v>736.3</v>
      </c>
      <c r="F555">
        <f>IF(Tradebook_2023_2026[[#This Row],[Trade Type]]="buy",-(Tradebook_2023_2026[[#This Row],[Quantity]]*Tradebook_2023_2026[[#This Row],[Price]]),(Tradebook_2023_2026[[#This Row],[Quantity]]*Tradebook_2023_2026[[#This Row],[Price]]))</f>
        <v>-21352.699999999997</v>
      </c>
    </row>
    <row r="556" spans="1:6">
      <c r="A556" t="s">
        <v>23</v>
      </c>
      <c r="B556" s="1">
        <v>45103</v>
      </c>
      <c r="C556" t="s">
        <v>8</v>
      </c>
      <c r="D556">
        <v>19</v>
      </c>
      <c r="E556">
        <v>736.3</v>
      </c>
      <c r="F556">
        <f>IF(Tradebook_2023_2026[[#This Row],[Trade Type]]="buy",-(Tradebook_2023_2026[[#This Row],[Quantity]]*Tradebook_2023_2026[[#This Row],[Price]]),(Tradebook_2023_2026[[#This Row],[Quantity]]*Tradebook_2023_2026[[#This Row],[Price]]))</f>
        <v>-13989.699999999999</v>
      </c>
    </row>
    <row r="557" spans="1:6">
      <c r="A557" t="s">
        <v>36</v>
      </c>
      <c r="B557" s="1">
        <v>45112</v>
      </c>
      <c r="C557" t="s">
        <v>8</v>
      </c>
      <c r="D557">
        <v>50</v>
      </c>
      <c r="E557">
        <v>19.75</v>
      </c>
      <c r="F557">
        <f>IF(Tradebook_2023_2026[[#This Row],[Trade Type]]="buy",-(Tradebook_2023_2026[[#This Row],[Quantity]]*Tradebook_2023_2026[[#This Row],[Price]]),(Tradebook_2023_2026[[#This Row],[Quantity]]*Tradebook_2023_2026[[#This Row],[Price]]))</f>
        <v>-987.5</v>
      </c>
    </row>
    <row r="558" spans="1:6">
      <c r="A558" t="s">
        <v>36</v>
      </c>
      <c r="B558" s="1">
        <v>45112</v>
      </c>
      <c r="C558" t="s">
        <v>8</v>
      </c>
      <c r="D558">
        <v>5181</v>
      </c>
      <c r="E558">
        <v>19.75</v>
      </c>
      <c r="F558">
        <f>IF(Tradebook_2023_2026[[#This Row],[Trade Type]]="buy",-(Tradebook_2023_2026[[#This Row],[Quantity]]*Tradebook_2023_2026[[#This Row],[Price]]),(Tradebook_2023_2026[[#This Row],[Quantity]]*Tradebook_2023_2026[[#This Row],[Price]]))</f>
        <v>-102324.75</v>
      </c>
    </row>
    <row r="559" spans="1:6">
      <c r="A559" t="s">
        <v>36</v>
      </c>
      <c r="B559" s="1">
        <v>45112</v>
      </c>
      <c r="C559" t="s">
        <v>8</v>
      </c>
      <c r="D559">
        <v>453</v>
      </c>
      <c r="E559">
        <v>19.75</v>
      </c>
      <c r="F559">
        <f>IF(Tradebook_2023_2026[[#This Row],[Trade Type]]="buy",-(Tradebook_2023_2026[[#This Row],[Quantity]]*Tradebook_2023_2026[[#This Row],[Price]]),(Tradebook_2023_2026[[#This Row],[Quantity]]*Tradebook_2023_2026[[#This Row],[Price]]))</f>
        <v>-8946.75</v>
      </c>
    </row>
    <row r="560" spans="1:6">
      <c r="A560" t="s">
        <v>36</v>
      </c>
      <c r="B560" s="1">
        <v>45112</v>
      </c>
      <c r="C560" t="s">
        <v>8</v>
      </c>
      <c r="D560">
        <v>434</v>
      </c>
      <c r="E560">
        <v>19.75</v>
      </c>
      <c r="F560">
        <f>IF(Tradebook_2023_2026[[#This Row],[Trade Type]]="buy",-(Tradebook_2023_2026[[#This Row],[Quantity]]*Tradebook_2023_2026[[#This Row],[Price]]),(Tradebook_2023_2026[[#This Row],[Quantity]]*Tradebook_2023_2026[[#This Row],[Price]]))</f>
        <v>-8571.5</v>
      </c>
    </row>
    <row r="561" spans="1:6">
      <c r="A561" t="s">
        <v>36</v>
      </c>
      <c r="B561" s="1">
        <v>45112</v>
      </c>
      <c r="C561" t="s">
        <v>8</v>
      </c>
      <c r="D561">
        <v>50</v>
      </c>
      <c r="E561">
        <v>19.75</v>
      </c>
      <c r="F561">
        <f>IF(Tradebook_2023_2026[[#This Row],[Trade Type]]="buy",-(Tradebook_2023_2026[[#This Row],[Quantity]]*Tradebook_2023_2026[[#This Row],[Price]]),(Tradebook_2023_2026[[#This Row],[Quantity]]*Tradebook_2023_2026[[#This Row],[Price]]))</f>
        <v>-987.5</v>
      </c>
    </row>
    <row r="562" spans="1:6">
      <c r="A562" t="s">
        <v>36</v>
      </c>
      <c r="B562" s="1">
        <v>45112</v>
      </c>
      <c r="C562" t="s">
        <v>8</v>
      </c>
      <c r="D562">
        <v>1064</v>
      </c>
      <c r="E562">
        <v>19.739999999999998</v>
      </c>
      <c r="F562">
        <f>IF(Tradebook_2023_2026[[#This Row],[Trade Type]]="buy",-(Tradebook_2023_2026[[#This Row],[Quantity]]*Tradebook_2023_2026[[#This Row],[Price]]),(Tradebook_2023_2026[[#This Row],[Quantity]]*Tradebook_2023_2026[[#This Row],[Price]]))</f>
        <v>-21003.359999999997</v>
      </c>
    </row>
    <row r="563" spans="1:6">
      <c r="A563" t="s">
        <v>99</v>
      </c>
      <c r="B563" s="1">
        <v>45113</v>
      </c>
      <c r="C563" t="s">
        <v>6</v>
      </c>
      <c r="D563">
        <v>176</v>
      </c>
      <c r="E563">
        <v>75.05</v>
      </c>
      <c r="F563">
        <f>IF(Tradebook_2023_2026[[#This Row],[Trade Type]]="buy",-(Tradebook_2023_2026[[#This Row],[Quantity]]*Tradebook_2023_2026[[#This Row],[Price]]),(Tradebook_2023_2026[[#This Row],[Quantity]]*Tradebook_2023_2026[[#This Row],[Price]]))</f>
        <v>13208.8</v>
      </c>
    </row>
    <row r="564" spans="1:6">
      <c r="A564" t="s">
        <v>99</v>
      </c>
      <c r="B564" s="1">
        <v>45113</v>
      </c>
      <c r="C564" t="s">
        <v>6</v>
      </c>
      <c r="D564">
        <v>9</v>
      </c>
      <c r="E564">
        <v>75.05</v>
      </c>
      <c r="F564">
        <f>IF(Tradebook_2023_2026[[#This Row],[Trade Type]]="buy",-(Tradebook_2023_2026[[#This Row],[Quantity]]*Tradebook_2023_2026[[#This Row],[Price]]),(Tradebook_2023_2026[[#This Row],[Quantity]]*Tradebook_2023_2026[[#This Row],[Price]]))</f>
        <v>675.44999999999993</v>
      </c>
    </row>
    <row r="565" spans="1:6">
      <c r="A565" t="s">
        <v>83</v>
      </c>
      <c r="B565" s="1">
        <v>45128</v>
      </c>
      <c r="C565" t="s">
        <v>8</v>
      </c>
      <c r="D565">
        <v>550</v>
      </c>
      <c r="E565">
        <v>116</v>
      </c>
      <c r="F565">
        <f>IF(Tradebook_2023_2026[[#This Row],[Trade Type]]="buy",-(Tradebook_2023_2026[[#This Row],[Quantity]]*Tradebook_2023_2026[[#This Row],[Price]]),(Tradebook_2023_2026[[#This Row],[Quantity]]*Tradebook_2023_2026[[#This Row],[Price]]))</f>
        <v>-63800</v>
      </c>
    </row>
    <row r="566" spans="1:6">
      <c r="A566" t="s">
        <v>100</v>
      </c>
      <c r="B566" s="1">
        <v>45131</v>
      </c>
      <c r="C566" t="s">
        <v>8</v>
      </c>
      <c r="D566">
        <v>1000</v>
      </c>
      <c r="E566">
        <v>49</v>
      </c>
      <c r="F566">
        <f>IF(Tradebook_2023_2026[[#This Row],[Trade Type]]="buy",-(Tradebook_2023_2026[[#This Row],[Quantity]]*Tradebook_2023_2026[[#This Row],[Price]]),(Tradebook_2023_2026[[#This Row],[Quantity]]*Tradebook_2023_2026[[#This Row],[Price]]))</f>
        <v>-49000</v>
      </c>
    </row>
    <row r="567" spans="1:6">
      <c r="A567" t="s">
        <v>100</v>
      </c>
      <c r="B567" s="1">
        <v>45131</v>
      </c>
      <c r="C567" t="s">
        <v>8</v>
      </c>
      <c r="D567">
        <v>4</v>
      </c>
      <c r="E567">
        <v>49</v>
      </c>
      <c r="F567">
        <f>IF(Tradebook_2023_2026[[#This Row],[Trade Type]]="buy",-(Tradebook_2023_2026[[#This Row],[Quantity]]*Tradebook_2023_2026[[#This Row],[Price]]),(Tradebook_2023_2026[[#This Row],[Quantity]]*Tradebook_2023_2026[[#This Row],[Price]]))</f>
        <v>-196</v>
      </c>
    </row>
    <row r="568" spans="1:6">
      <c r="A568" t="s">
        <v>101</v>
      </c>
      <c r="B568" s="1">
        <v>45135</v>
      </c>
      <c r="C568" t="s">
        <v>8</v>
      </c>
      <c r="D568">
        <v>3</v>
      </c>
      <c r="E568">
        <v>948.5</v>
      </c>
      <c r="F568">
        <f>IF(Tradebook_2023_2026[[#This Row],[Trade Type]]="buy",-(Tradebook_2023_2026[[#This Row],[Quantity]]*Tradebook_2023_2026[[#This Row],[Price]]),(Tradebook_2023_2026[[#This Row],[Quantity]]*Tradebook_2023_2026[[#This Row],[Price]]))</f>
        <v>-2845.5</v>
      </c>
    </row>
    <row r="569" spans="1:6">
      <c r="A569" t="s">
        <v>101</v>
      </c>
      <c r="B569" s="1">
        <v>45135</v>
      </c>
      <c r="C569" t="s">
        <v>8</v>
      </c>
      <c r="D569">
        <v>54</v>
      </c>
      <c r="E569">
        <v>948.5</v>
      </c>
      <c r="F569">
        <f>IF(Tradebook_2023_2026[[#This Row],[Trade Type]]="buy",-(Tradebook_2023_2026[[#This Row],[Quantity]]*Tradebook_2023_2026[[#This Row],[Price]]),(Tradebook_2023_2026[[#This Row],[Quantity]]*Tradebook_2023_2026[[#This Row],[Price]]))</f>
        <v>-51219</v>
      </c>
    </row>
    <row r="570" spans="1:6">
      <c r="A570" t="s">
        <v>98</v>
      </c>
      <c r="B570" s="1">
        <v>45138</v>
      </c>
      <c r="C570" t="s">
        <v>8</v>
      </c>
      <c r="D570">
        <v>1625</v>
      </c>
      <c r="E570">
        <v>11.65</v>
      </c>
      <c r="F570">
        <f>IF(Tradebook_2023_2026[[#This Row],[Trade Type]]="buy",-(Tradebook_2023_2026[[#This Row],[Quantity]]*Tradebook_2023_2026[[#This Row],[Price]]),(Tradebook_2023_2026[[#This Row],[Quantity]]*Tradebook_2023_2026[[#This Row],[Price]]))</f>
        <v>-18931.25</v>
      </c>
    </row>
    <row r="571" spans="1:6">
      <c r="A571" t="s">
        <v>102</v>
      </c>
      <c r="B571" s="1">
        <v>45138</v>
      </c>
      <c r="C571" t="s">
        <v>8</v>
      </c>
      <c r="D571">
        <v>122</v>
      </c>
      <c r="E571">
        <v>7.5</v>
      </c>
      <c r="F571">
        <f>IF(Tradebook_2023_2026[[#This Row],[Trade Type]]="buy",-(Tradebook_2023_2026[[#This Row],[Quantity]]*Tradebook_2023_2026[[#This Row],[Price]]),(Tradebook_2023_2026[[#This Row],[Quantity]]*Tradebook_2023_2026[[#This Row],[Price]]))</f>
        <v>-915</v>
      </c>
    </row>
    <row r="572" spans="1:6">
      <c r="A572" t="s">
        <v>102</v>
      </c>
      <c r="B572" s="1">
        <v>45138</v>
      </c>
      <c r="C572" t="s">
        <v>8</v>
      </c>
      <c r="D572">
        <v>1</v>
      </c>
      <c r="E572">
        <v>7.6</v>
      </c>
      <c r="F572">
        <f>IF(Tradebook_2023_2026[[#This Row],[Trade Type]]="buy",-(Tradebook_2023_2026[[#This Row],[Quantity]]*Tradebook_2023_2026[[#This Row],[Price]]),(Tradebook_2023_2026[[#This Row],[Quantity]]*Tradebook_2023_2026[[#This Row],[Price]]))</f>
        <v>-7.6</v>
      </c>
    </row>
    <row r="573" spans="1:6">
      <c r="A573" t="s">
        <v>102</v>
      </c>
      <c r="B573" s="1">
        <v>45138</v>
      </c>
      <c r="C573" t="s">
        <v>8</v>
      </c>
      <c r="D573">
        <v>1</v>
      </c>
      <c r="E573">
        <v>7.6</v>
      </c>
      <c r="F573">
        <f>IF(Tradebook_2023_2026[[#This Row],[Trade Type]]="buy",-(Tradebook_2023_2026[[#This Row],[Quantity]]*Tradebook_2023_2026[[#This Row],[Price]]),(Tradebook_2023_2026[[#This Row],[Quantity]]*Tradebook_2023_2026[[#This Row],[Price]]))</f>
        <v>-7.6</v>
      </c>
    </row>
    <row r="574" spans="1:6">
      <c r="A574" t="s">
        <v>84</v>
      </c>
      <c r="B574" s="1">
        <v>45142</v>
      </c>
      <c r="C574" t="s">
        <v>8</v>
      </c>
      <c r="D574">
        <v>582</v>
      </c>
      <c r="E574">
        <v>210</v>
      </c>
      <c r="F574">
        <f>IF(Tradebook_2023_2026[[#This Row],[Trade Type]]="buy",-(Tradebook_2023_2026[[#This Row],[Quantity]]*Tradebook_2023_2026[[#This Row],[Price]]),(Tradebook_2023_2026[[#This Row],[Quantity]]*Tradebook_2023_2026[[#This Row],[Price]]))</f>
        <v>-122220</v>
      </c>
    </row>
    <row r="575" spans="1:6">
      <c r="A575" t="s">
        <v>103</v>
      </c>
      <c r="B575" s="1">
        <v>45142</v>
      </c>
      <c r="C575" t="s">
        <v>8</v>
      </c>
      <c r="D575">
        <v>100</v>
      </c>
      <c r="E575">
        <v>86</v>
      </c>
      <c r="F575">
        <f>IF(Tradebook_2023_2026[[#This Row],[Trade Type]]="buy",-(Tradebook_2023_2026[[#This Row],[Quantity]]*Tradebook_2023_2026[[#This Row],[Price]]),(Tradebook_2023_2026[[#This Row],[Quantity]]*Tradebook_2023_2026[[#This Row],[Price]]))</f>
        <v>-8600</v>
      </c>
    </row>
    <row r="576" spans="1:6">
      <c r="A576" t="s">
        <v>103</v>
      </c>
      <c r="B576" s="1">
        <v>45142</v>
      </c>
      <c r="C576" t="s">
        <v>8</v>
      </c>
      <c r="D576">
        <v>90</v>
      </c>
      <c r="E576">
        <v>86</v>
      </c>
      <c r="F576">
        <f>IF(Tradebook_2023_2026[[#This Row],[Trade Type]]="buy",-(Tradebook_2023_2026[[#This Row],[Quantity]]*Tradebook_2023_2026[[#This Row],[Price]]),(Tradebook_2023_2026[[#This Row],[Quantity]]*Tradebook_2023_2026[[#This Row],[Price]]))</f>
        <v>-7740</v>
      </c>
    </row>
    <row r="577" spans="1:6">
      <c r="A577" t="s">
        <v>103</v>
      </c>
      <c r="B577" s="1">
        <v>45142</v>
      </c>
      <c r="C577" t="s">
        <v>8</v>
      </c>
      <c r="D577">
        <v>250</v>
      </c>
      <c r="E577">
        <v>86</v>
      </c>
      <c r="F577">
        <f>IF(Tradebook_2023_2026[[#This Row],[Trade Type]]="buy",-(Tradebook_2023_2026[[#This Row],[Quantity]]*Tradebook_2023_2026[[#This Row],[Price]]),(Tradebook_2023_2026[[#This Row],[Quantity]]*Tradebook_2023_2026[[#This Row],[Price]]))</f>
        <v>-21500</v>
      </c>
    </row>
    <row r="578" spans="1:6">
      <c r="A578" t="s">
        <v>103</v>
      </c>
      <c r="B578" s="1">
        <v>45142</v>
      </c>
      <c r="C578" t="s">
        <v>8</v>
      </c>
      <c r="D578">
        <v>17</v>
      </c>
      <c r="E578">
        <v>86</v>
      </c>
      <c r="F578">
        <f>IF(Tradebook_2023_2026[[#This Row],[Trade Type]]="buy",-(Tradebook_2023_2026[[#This Row],[Quantity]]*Tradebook_2023_2026[[#This Row],[Price]]),(Tradebook_2023_2026[[#This Row],[Quantity]]*Tradebook_2023_2026[[#This Row],[Price]]))</f>
        <v>-1462</v>
      </c>
    </row>
    <row r="579" spans="1:6">
      <c r="A579" t="s">
        <v>90</v>
      </c>
      <c r="B579" s="1">
        <v>45152</v>
      </c>
      <c r="C579" t="s">
        <v>8</v>
      </c>
      <c r="D579">
        <v>240</v>
      </c>
      <c r="E579">
        <v>196.8</v>
      </c>
      <c r="F579">
        <f>IF(Tradebook_2023_2026[[#This Row],[Trade Type]]="buy",-(Tradebook_2023_2026[[#This Row],[Quantity]]*Tradebook_2023_2026[[#This Row],[Price]]),(Tradebook_2023_2026[[#This Row],[Quantity]]*Tradebook_2023_2026[[#This Row],[Price]]))</f>
        <v>-47232</v>
      </c>
    </row>
    <row r="580" spans="1:6">
      <c r="A580" t="s">
        <v>90</v>
      </c>
      <c r="B580" s="1">
        <v>45152</v>
      </c>
      <c r="C580" t="s">
        <v>8</v>
      </c>
      <c r="D580">
        <v>465</v>
      </c>
      <c r="E580">
        <v>196.95</v>
      </c>
      <c r="F580">
        <f>IF(Tradebook_2023_2026[[#This Row],[Trade Type]]="buy",-(Tradebook_2023_2026[[#This Row],[Quantity]]*Tradebook_2023_2026[[#This Row],[Price]]),(Tradebook_2023_2026[[#This Row],[Quantity]]*Tradebook_2023_2026[[#This Row],[Price]]))</f>
        <v>-91581.75</v>
      </c>
    </row>
    <row r="581" spans="1:6">
      <c r="A581" t="s">
        <v>87</v>
      </c>
      <c r="B581" s="1">
        <v>45160</v>
      </c>
      <c r="C581" t="s">
        <v>8</v>
      </c>
      <c r="D581">
        <v>36</v>
      </c>
      <c r="E581">
        <v>43.9</v>
      </c>
      <c r="F581">
        <f>IF(Tradebook_2023_2026[[#This Row],[Trade Type]]="buy",-(Tradebook_2023_2026[[#This Row],[Quantity]]*Tradebook_2023_2026[[#This Row],[Price]]),(Tradebook_2023_2026[[#This Row],[Quantity]]*Tradebook_2023_2026[[#This Row],[Price]]))</f>
        <v>-1580.3999999999999</v>
      </c>
    </row>
    <row r="582" spans="1:6">
      <c r="A582" t="s">
        <v>87</v>
      </c>
      <c r="B582" s="1">
        <v>45160</v>
      </c>
      <c r="C582" t="s">
        <v>8</v>
      </c>
      <c r="D582">
        <v>10</v>
      </c>
      <c r="E582">
        <v>43.9</v>
      </c>
      <c r="F582">
        <f>IF(Tradebook_2023_2026[[#This Row],[Trade Type]]="buy",-(Tradebook_2023_2026[[#This Row],[Quantity]]*Tradebook_2023_2026[[#This Row],[Price]]),(Tradebook_2023_2026[[#This Row],[Quantity]]*Tradebook_2023_2026[[#This Row],[Price]]))</f>
        <v>-439</v>
      </c>
    </row>
    <row r="583" spans="1:6">
      <c r="A583" t="s">
        <v>87</v>
      </c>
      <c r="B583" s="1">
        <v>45160</v>
      </c>
      <c r="C583" t="s">
        <v>8</v>
      </c>
      <c r="D583">
        <v>140</v>
      </c>
      <c r="E583">
        <v>43.9</v>
      </c>
      <c r="F583">
        <f>IF(Tradebook_2023_2026[[#This Row],[Trade Type]]="buy",-(Tradebook_2023_2026[[#This Row],[Quantity]]*Tradebook_2023_2026[[#This Row],[Price]]),(Tradebook_2023_2026[[#This Row],[Quantity]]*Tradebook_2023_2026[[#This Row],[Price]]))</f>
        <v>-6146</v>
      </c>
    </row>
    <row r="584" spans="1:6">
      <c r="A584" t="s">
        <v>87</v>
      </c>
      <c r="B584" s="1">
        <v>45160</v>
      </c>
      <c r="C584" t="s">
        <v>8</v>
      </c>
      <c r="D584">
        <v>804</v>
      </c>
      <c r="E584">
        <v>43.95</v>
      </c>
      <c r="F584">
        <f>IF(Tradebook_2023_2026[[#This Row],[Trade Type]]="buy",-(Tradebook_2023_2026[[#This Row],[Quantity]]*Tradebook_2023_2026[[#This Row],[Price]]),(Tradebook_2023_2026[[#This Row],[Quantity]]*Tradebook_2023_2026[[#This Row],[Price]]))</f>
        <v>-35335.800000000003</v>
      </c>
    </row>
    <row r="585" spans="1:6">
      <c r="A585" t="s">
        <v>87</v>
      </c>
      <c r="B585" s="1">
        <v>45160</v>
      </c>
      <c r="C585" t="s">
        <v>8</v>
      </c>
      <c r="D585">
        <v>160</v>
      </c>
      <c r="E585">
        <v>43.95</v>
      </c>
      <c r="F585">
        <f>IF(Tradebook_2023_2026[[#This Row],[Trade Type]]="buy",-(Tradebook_2023_2026[[#This Row],[Quantity]]*Tradebook_2023_2026[[#This Row],[Price]]),(Tradebook_2023_2026[[#This Row],[Quantity]]*Tradebook_2023_2026[[#This Row],[Price]]))</f>
        <v>-7032</v>
      </c>
    </row>
    <row r="586" spans="1:6">
      <c r="A586" t="s">
        <v>84</v>
      </c>
      <c r="B586" s="1">
        <v>45181</v>
      </c>
      <c r="C586" t="s">
        <v>8</v>
      </c>
      <c r="D586">
        <v>140</v>
      </c>
      <c r="E586">
        <v>224.05</v>
      </c>
      <c r="F586">
        <f>IF(Tradebook_2023_2026[[#This Row],[Trade Type]]="buy",-(Tradebook_2023_2026[[#This Row],[Quantity]]*Tradebook_2023_2026[[#This Row],[Price]]),(Tradebook_2023_2026[[#This Row],[Quantity]]*Tradebook_2023_2026[[#This Row],[Price]]))</f>
        <v>-31367</v>
      </c>
    </row>
    <row r="587" spans="1:6">
      <c r="A587" t="s">
        <v>54</v>
      </c>
      <c r="B587" s="1">
        <v>45181</v>
      </c>
      <c r="C587" t="s">
        <v>8</v>
      </c>
      <c r="D587">
        <v>4</v>
      </c>
      <c r="E587">
        <v>785</v>
      </c>
      <c r="F587">
        <f>IF(Tradebook_2023_2026[[#This Row],[Trade Type]]="buy",-(Tradebook_2023_2026[[#This Row],[Quantity]]*Tradebook_2023_2026[[#This Row],[Price]]),(Tradebook_2023_2026[[#This Row],[Quantity]]*Tradebook_2023_2026[[#This Row],[Price]]))</f>
        <v>-3140</v>
      </c>
    </row>
    <row r="588" spans="1:6">
      <c r="A588" t="s">
        <v>54</v>
      </c>
      <c r="B588" s="1">
        <v>45181</v>
      </c>
      <c r="C588" t="s">
        <v>8</v>
      </c>
      <c r="D588">
        <v>66</v>
      </c>
      <c r="E588">
        <v>785</v>
      </c>
      <c r="F588">
        <f>IF(Tradebook_2023_2026[[#This Row],[Trade Type]]="buy",-(Tradebook_2023_2026[[#This Row],[Quantity]]*Tradebook_2023_2026[[#This Row],[Price]]),(Tradebook_2023_2026[[#This Row],[Quantity]]*Tradebook_2023_2026[[#This Row],[Price]]))</f>
        <v>-51810</v>
      </c>
    </row>
    <row r="589" spans="1:6">
      <c r="A589" t="s">
        <v>98</v>
      </c>
      <c r="B589" s="1">
        <v>45187</v>
      </c>
      <c r="C589" t="s">
        <v>8</v>
      </c>
      <c r="D589">
        <v>270</v>
      </c>
      <c r="E589">
        <v>10.18</v>
      </c>
      <c r="F589">
        <f>IF(Tradebook_2023_2026[[#This Row],[Trade Type]]="buy",-(Tradebook_2023_2026[[#This Row],[Quantity]]*Tradebook_2023_2026[[#This Row],[Price]]),(Tradebook_2023_2026[[#This Row],[Quantity]]*Tradebook_2023_2026[[#This Row],[Price]]))</f>
        <v>-2748.6</v>
      </c>
    </row>
    <row r="590" spans="1:6">
      <c r="A590" t="s">
        <v>98</v>
      </c>
      <c r="B590" s="1">
        <v>45187</v>
      </c>
      <c r="C590" t="s">
        <v>8</v>
      </c>
      <c r="D590">
        <v>735</v>
      </c>
      <c r="E590">
        <v>10.55</v>
      </c>
      <c r="F590">
        <f>IF(Tradebook_2023_2026[[#This Row],[Trade Type]]="buy",-(Tradebook_2023_2026[[#This Row],[Quantity]]*Tradebook_2023_2026[[#This Row],[Price]]),(Tradebook_2023_2026[[#This Row],[Quantity]]*Tradebook_2023_2026[[#This Row],[Price]]))</f>
        <v>-7754.2500000000009</v>
      </c>
    </row>
    <row r="591" spans="1:6">
      <c r="A591" t="s">
        <v>104</v>
      </c>
      <c r="B591" s="1">
        <v>45191</v>
      </c>
      <c r="C591" t="s">
        <v>8</v>
      </c>
      <c r="D591">
        <v>638</v>
      </c>
      <c r="E591">
        <v>93.75</v>
      </c>
      <c r="F591">
        <f>IF(Tradebook_2023_2026[[#This Row],[Trade Type]]="buy",-(Tradebook_2023_2026[[#This Row],[Quantity]]*Tradebook_2023_2026[[#This Row],[Price]]),(Tradebook_2023_2026[[#This Row],[Quantity]]*Tradebook_2023_2026[[#This Row],[Price]]))</f>
        <v>-59812.5</v>
      </c>
    </row>
    <row r="592" spans="1:6">
      <c r="A592" t="s">
        <v>105</v>
      </c>
      <c r="B592" s="1">
        <v>45217</v>
      </c>
      <c r="C592" t="s">
        <v>6</v>
      </c>
      <c r="D592">
        <v>35</v>
      </c>
      <c r="E592">
        <v>1158.2</v>
      </c>
      <c r="F592">
        <f>IF(Tradebook_2023_2026[[#This Row],[Trade Type]]="buy",-(Tradebook_2023_2026[[#This Row],[Quantity]]*Tradebook_2023_2026[[#This Row],[Price]]),(Tradebook_2023_2026[[#This Row],[Quantity]]*Tradebook_2023_2026[[#This Row],[Price]]))</f>
        <v>40537</v>
      </c>
    </row>
    <row r="593" spans="1:6">
      <c r="A593" t="s">
        <v>54</v>
      </c>
      <c r="B593" s="1">
        <v>45225</v>
      </c>
      <c r="C593" t="s">
        <v>8</v>
      </c>
      <c r="D593">
        <v>1</v>
      </c>
      <c r="E593">
        <v>763.1</v>
      </c>
      <c r="F593">
        <f>IF(Tradebook_2023_2026[[#This Row],[Trade Type]]="buy",-(Tradebook_2023_2026[[#This Row],[Quantity]]*Tradebook_2023_2026[[#This Row],[Price]]),(Tradebook_2023_2026[[#This Row],[Quantity]]*Tradebook_2023_2026[[#This Row],[Price]]))</f>
        <v>-763.1</v>
      </c>
    </row>
    <row r="594" spans="1:6">
      <c r="A594" t="s">
        <v>54</v>
      </c>
      <c r="B594" s="1">
        <v>45225</v>
      </c>
      <c r="C594" t="s">
        <v>8</v>
      </c>
      <c r="D594">
        <v>3</v>
      </c>
      <c r="E594">
        <v>764.15</v>
      </c>
      <c r="F594">
        <f>IF(Tradebook_2023_2026[[#This Row],[Trade Type]]="buy",-(Tradebook_2023_2026[[#This Row],[Quantity]]*Tradebook_2023_2026[[#This Row],[Price]]),(Tradebook_2023_2026[[#This Row],[Quantity]]*Tradebook_2023_2026[[#This Row],[Price]]))</f>
        <v>-2292.4499999999998</v>
      </c>
    </row>
    <row r="595" spans="1:6">
      <c r="A595" t="s">
        <v>54</v>
      </c>
      <c r="B595" s="1">
        <v>45225</v>
      </c>
      <c r="C595" t="s">
        <v>8</v>
      </c>
      <c r="D595">
        <v>1</v>
      </c>
      <c r="E595">
        <v>763.9</v>
      </c>
      <c r="F595">
        <f>IF(Tradebook_2023_2026[[#This Row],[Trade Type]]="buy",-(Tradebook_2023_2026[[#This Row],[Quantity]]*Tradebook_2023_2026[[#This Row],[Price]]),(Tradebook_2023_2026[[#This Row],[Quantity]]*Tradebook_2023_2026[[#This Row],[Price]]))</f>
        <v>-763.9</v>
      </c>
    </row>
    <row r="596" spans="1:6">
      <c r="A596" t="s">
        <v>54</v>
      </c>
      <c r="B596" s="1">
        <v>45225</v>
      </c>
      <c r="C596" t="s">
        <v>8</v>
      </c>
      <c r="D596">
        <v>9</v>
      </c>
      <c r="E596">
        <v>763.95</v>
      </c>
      <c r="F596">
        <f>IF(Tradebook_2023_2026[[#This Row],[Trade Type]]="buy",-(Tradebook_2023_2026[[#This Row],[Quantity]]*Tradebook_2023_2026[[#This Row],[Price]]),(Tradebook_2023_2026[[#This Row],[Quantity]]*Tradebook_2023_2026[[#This Row],[Price]]))</f>
        <v>-6875.55</v>
      </c>
    </row>
    <row r="597" spans="1:6">
      <c r="A597" t="s">
        <v>54</v>
      </c>
      <c r="B597" s="1">
        <v>45225</v>
      </c>
      <c r="C597" t="s">
        <v>8</v>
      </c>
      <c r="D597">
        <v>1</v>
      </c>
      <c r="E597">
        <v>763.6</v>
      </c>
      <c r="F597">
        <f>IF(Tradebook_2023_2026[[#This Row],[Trade Type]]="buy",-(Tradebook_2023_2026[[#This Row],[Quantity]]*Tradebook_2023_2026[[#This Row],[Price]]),(Tradebook_2023_2026[[#This Row],[Quantity]]*Tradebook_2023_2026[[#This Row],[Price]]))</f>
        <v>-763.6</v>
      </c>
    </row>
    <row r="598" spans="1:6">
      <c r="A598" t="s">
        <v>54</v>
      </c>
      <c r="B598" s="1">
        <v>45225</v>
      </c>
      <c r="C598" t="s">
        <v>8</v>
      </c>
      <c r="D598">
        <v>1</v>
      </c>
      <c r="E598">
        <v>764.4</v>
      </c>
      <c r="F598">
        <f>IF(Tradebook_2023_2026[[#This Row],[Trade Type]]="buy",-(Tradebook_2023_2026[[#This Row],[Quantity]]*Tradebook_2023_2026[[#This Row],[Price]]),(Tradebook_2023_2026[[#This Row],[Quantity]]*Tradebook_2023_2026[[#This Row],[Price]]))</f>
        <v>-764.4</v>
      </c>
    </row>
    <row r="599" spans="1:6">
      <c r="A599" t="s">
        <v>54</v>
      </c>
      <c r="B599" s="1">
        <v>45225</v>
      </c>
      <c r="C599" t="s">
        <v>8</v>
      </c>
      <c r="D599">
        <v>9</v>
      </c>
      <c r="E599">
        <v>764.45</v>
      </c>
      <c r="F599">
        <f>IF(Tradebook_2023_2026[[#This Row],[Trade Type]]="buy",-(Tradebook_2023_2026[[#This Row],[Quantity]]*Tradebook_2023_2026[[#This Row],[Price]]),(Tradebook_2023_2026[[#This Row],[Quantity]]*Tradebook_2023_2026[[#This Row],[Price]]))</f>
        <v>-6880.05</v>
      </c>
    </row>
    <row r="600" spans="1:6">
      <c r="A600" t="s">
        <v>54</v>
      </c>
      <c r="B600" s="1">
        <v>45225</v>
      </c>
      <c r="C600" t="s">
        <v>8</v>
      </c>
      <c r="D600">
        <v>1</v>
      </c>
      <c r="E600">
        <v>764.55</v>
      </c>
      <c r="F600">
        <f>IF(Tradebook_2023_2026[[#This Row],[Trade Type]]="buy",-(Tradebook_2023_2026[[#This Row],[Quantity]]*Tradebook_2023_2026[[#This Row],[Price]]),(Tradebook_2023_2026[[#This Row],[Quantity]]*Tradebook_2023_2026[[#This Row],[Price]]))</f>
        <v>-764.55</v>
      </c>
    </row>
    <row r="601" spans="1:6">
      <c r="A601" t="s">
        <v>54</v>
      </c>
      <c r="B601" s="1">
        <v>45225</v>
      </c>
      <c r="C601" t="s">
        <v>8</v>
      </c>
      <c r="D601">
        <v>6</v>
      </c>
      <c r="E601">
        <v>763.9</v>
      </c>
      <c r="F601">
        <f>IF(Tradebook_2023_2026[[#This Row],[Trade Type]]="buy",-(Tradebook_2023_2026[[#This Row],[Quantity]]*Tradebook_2023_2026[[#This Row],[Price]]),(Tradebook_2023_2026[[#This Row],[Quantity]]*Tradebook_2023_2026[[#This Row],[Price]]))</f>
        <v>-4583.3999999999996</v>
      </c>
    </row>
    <row r="602" spans="1:6">
      <c r="A602" t="s">
        <v>54</v>
      </c>
      <c r="B602" s="1">
        <v>45225</v>
      </c>
      <c r="C602" t="s">
        <v>8</v>
      </c>
      <c r="D602">
        <v>5</v>
      </c>
      <c r="E602">
        <v>764.25</v>
      </c>
      <c r="F602">
        <f>IF(Tradebook_2023_2026[[#This Row],[Trade Type]]="buy",-(Tradebook_2023_2026[[#This Row],[Quantity]]*Tradebook_2023_2026[[#This Row],[Price]]),(Tradebook_2023_2026[[#This Row],[Quantity]]*Tradebook_2023_2026[[#This Row],[Price]]))</f>
        <v>-3821.25</v>
      </c>
    </row>
    <row r="603" spans="1:6">
      <c r="A603" t="s">
        <v>54</v>
      </c>
      <c r="B603" s="1">
        <v>45225</v>
      </c>
      <c r="C603" t="s">
        <v>8</v>
      </c>
      <c r="D603">
        <v>2</v>
      </c>
      <c r="E603">
        <v>764.6</v>
      </c>
      <c r="F603">
        <f>IF(Tradebook_2023_2026[[#This Row],[Trade Type]]="buy",-(Tradebook_2023_2026[[#This Row],[Quantity]]*Tradebook_2023_2026[[#This Row],[Price]]),(Tradebook_2023_2026[[#This Row],[Quantity]]*Tradebook_2023_2026[[#This Row],[Price]]))</f>
        <v>-1529.2</v>
      </c>
    </row>
    <row r="604" spans="1:6">
      <c r="A604" t="s">
        <v>54</v>
      </c>
      <c r="B604" s="1">
        <v>45225</v>
      </c>
      <c r="C604" t="s">
        <v>8</v>
      </c>
      <c r="D604">
        <v>9</v>
      </c>
      <c r="E604">
        <v>764.3</v>
      </c>
      <c r="F604">
        <f>IF(Tradebook_2023_2026[[#This Row],[Trade Type]]="buy",-(Tradebook_2023_2026[[#This Row],[Quantity]]*Tradebook_2023_2026[[#This Row],[Price]]),(Tradebook_2023_2026[[#This Row],[Quantity]]*Tradebook_2023_2026[[#This Row],[Price]]))</f>
        <v>-6878.7</v>
      </c>
    </row>
    <row r="605" spans="1:6">
      <c r="A605" t="s">
        <v>54</v>
      </c>
      <c r="B605" s="1">
        <v>45225</v>
      </c>
      <c r="C605" t="s">
        <v>8</v>
      </c>
      <c r="D605">
        <v>1</v>
      </c>
      <c r="E605">
        <v>764.75</v>
      </c>
      <c r="F605">
        <f>IF(Tradebook_2023_2026[[#This Row],[Trade Type]]="buy",-(Tradebook_2023_2026[[#This Row],[Quantity]]*Tradebook_2023_2026[[#This Row],[Price]]),(Tradebook_2023_2026[[#This Row],[Quantity]]*Tradebook_2023_2026[[#This Row],[Price]]))</f>
        <v>-764.75</v>
      </c>
    </row>
    <row r="606" spans="1:6">
      <c r="A606" t="s">
        <v>54</v>
      </c>
      <c r="B606" s="1">
        <v>45225</v>
      </c>
      <c r="C606" t="s">
        <v>8</v>
      </c>
      <c r="D606">
        <v>6</v>
      </c>
      <c r="E606">
        <v>764.25</v>
      </c>
      <c r="F606">
        <f>IF(Tradebook_2023_2026[[#This Row],[Trade Type]]="buy",-(Tradebook_2023_2026[[#This Row],[Quantity]]*Tradebook_2023_2026[[#This Row],[Price]]),(Tradebook_2023_2026[[#This Row],[Quantity]]*Tradebook_2023_2026[[#This Row],[Price]]))</f>
        <v>-4585.5</v>
      </c>
    </row>
    <row r="607" spans="1:6">
      <c r="A607" t="s">
        <v>54</v>
      </c>
      <c r="B607" s="1">
        <v>45225</v>
      </c>
      <c r="C607" t="s">
        <v>8</v>
      </c>
      <c r="D607">
        <v>1</v>
      </c>
      <c r="E607">
        <v>763.2</v>
      </c>
      <c r="F607">
        <f>IF(Tradebook_2023_2026[[#This Row],[Trade Type]]="buy",-(Tradebook_2023_2026[[#This Row],[Quantity]]*Tradebook_2023_2026[[#This Row],[Price]]),(Tradebook_2023_2026[[#This Row],[Quantity]]*Tradebook_2023_2026[[#This Row],[Price]]))</f>
        <v>-763.2</v>
      </c>
    </row>
    <row r="608" spans="1:6">
      <c r="A608" t="s">
        <v>54</v>
      </c>
      <c r="B608" s="1">
        <v>45225</v>
      </c>
      <c r="C608" t="s">
        <v>8</v>
      </c>
      <c r="D608">
        <v>1</v>
      </c>
      <c r="E608">
        <v>763.45</v>
      </c>
      <c r="F608">
        <f>IF(Tradebook_2023_2026[[#This Row],[Trade Type]]="buy",-(Tradebook_2023_2026[[#This Row],[Quantity]]*Tradebook_2023_2026[[#This Row],[Price]]),(Tradebook_2023_2026[[#This Row],[Quantity]]*Tradebook_2023_2026[[#This Row],[Price]]))</f>
        <v>-763.45</v>
      </c>
    </row>
    <row r="609" spans="1:6">
      <c r="A609" t="s">
        <v>54</v>
      </c>
      <c r="B609" s="1">
        <v>45225</v>
      </c>
      <c r="C609" t="s">
        <v>8</v>
      </c>
      <c r="D609">
        <v>3</v>
      </c>
      <c r="E609">
        <v>763</v>
      </c>
      <c r="F609">
        <f>IF(Tradebook_2023_2026[[#This Row],[Trade Type]]="buy",-(Tradebook_2023_2026[[#This Row],[Quantity]]*Tradebook_2023_2026[[#This Row],[Price]]),(Tradebook_2023_2026[[#This Row],[Quantity]]*Tradebook_2023_2026[[#This Row],[Price]]))</f>
        <v>-2289</v>
      </c>
    </row>
    <row r="610" spans="1:6">
      <c r="A610" t="s">
        <v>54</v>
      </c>
      <c r="B610" s="1">
        <v>45225</v>
      </c>
      <c r="C610" t="s">
        <v>8</v>
      </c>
      <c r="D610">
        <v>9</v>
      </c>
      <c r="E610">
        <v>764.75</v>
      </c>
      <c r="F610">
        <f>IF(Tradebook_2023_2026[[#This Row],[Trade Type]]="buy",-(Tradebook_2023_2026[[#This Row],[Quantity]]*Tradebook_2023_2026[[#This Row],[Price]]),(Tradebook_2023_2026[[#This Row],[Quantity]]*Tradebook_2023_2026[[#This Row],[Price]]))</f>
        <v>-6882.75</v>
      </c>
    </row>
    <row r="611" spans="1:6">
      <c r="A611" t="s">
        <v>54</v>
      </c>
      <c r="B611" s="1">
        <v>45225</v>
      </c>
      <c r="C611" t="s">
        <v>8</v>
      </c>
      <c r="D611">
        <v>1</v>
      </c>
      <c r="E611">
        <v>764.25</v>
      </c>
      <c r="F611">
        <f>IF(Tradebook_2023_2026[[#This Row],[Trade Type]]="buy",-(Tradebook_2023_2026[[#This Row],[Quantity]]*Tradebook_2023_2026[[#This Row],[Price]]),(Tradebook_2023_2026[[#This Row],[Quantity]]*Tradebook_2023_2026[[#This Row],[Price]]))</f>
        <v>-764.25</v>
      </c>
    </row>
    <row r="612" spans="1:6">
      <c r="A612" t="s">
        <v>54</v>
      </c>
      <c r="B612" s="1">
        <v>45225</v>
      </c>
      <c r="C612" t="s">
        <v>8</v>
      </c>
      <c r="D612">
        <v>1</v>
      </c>
      <c r="E612">
        <v>763.85</v>
      </c>
      <c r="F612">
        <f>IF(Tradebook_2023_2026[[#This Row],[Trade Type]]="buy",-(Tradebook_2023_2026[[#This Row],[Quantity]]*Tradebook_2023_2026[[#This Row],[Price]]),(Tradebook_2023_2026[[#This Row],[Quantity]]*Tradebook_2023_2026[[#This Row],[Price]]))</f>
        <v>-763.85</v>
      </c>
    </row>
    <row r="613" spans="1:6">
      <c r="A613" t="s">
        <v>54</v>
      </c>
      <c r="B613" s="1">
        <v>45225</v>
      </c>
      <c r="C613" t="s">
        <v>8</v>
      </c>
      <c r="D613">
        <v>9</v>
      </c>
      <c r="E613">
        <v>763.8</v>
      </c>
      <c r="F613">
        <f>IF(Tradebook_2023_2026[[#This Row],[Trade Type]]="buy",-(Tradebook_2023_2026[[#This Row],[Quantity]]*Tradebook_2023_2026[[#This Row],[Price]]),(Tradebook_2023_2026[[#This Row],[Quantity]]*Tradebook_2023_2026[[#This Row],[Price]]))</f>
        <v>-6874.2</v>
      </c>
    </row>
    <row r="614" spans="1:6">
      <c r="A614" t="s">
        <v>54</v>
      </c>
      <c r="B614" s="1">
        <v>45225</v>
      </c>
      <c r="C614" t="s">
        <v>8</v>
      </c>
      <c r="D614">
        <v>1</v>
      </c>
      <c r="E614">
        <v>764.25</v>
      </c>
      <c r="F614">
        <f>IF(Tradebook_2023_2026[[#This Row],[Trade Type]]="buy",-(Tradebook_2023_2026[[#This Row],[Quantity]]*Tradebook_2023_2026[[#This Row],[Price]]),(Tradebook_2023_2026[[#This Row],[Quantity]]*Tradebook_2023_2026[[#This Row],[Price]]))</f>
        <v>-764.25</v>
      </c>
    </row>
    <row r="615" spans="1:6">
      <c r="A615" t="s">
        <v>54</v>
      </c>
      <c r="B615" s="1">
        <v>45225</v>
      </c>
      <c r="C615" t="s">
        <v>8</v>
      </c>
      <c r="D615">
        <v>2</v>
      </c>
      <c r="E615">
        <v>764.2</v>
      </c>
      <c r="F615">
        <f>IF(Tradebook_2023_2026[[#This Row],[Trade Type]]="buy",-(Tradebook_2023_2026[[#This Row],[Quantity]]*Tradebook_2023_2026[[#This Row],[Price]]),(Tradebook_2023_2026[[#This Row],[Quantity]]*Tradebook_2023_2026[[#This Row],[Price]]))</f>
        <v>-1528.4</v>
      </c>
    </row>
    <row r="616" spans="1:6">
      <c r="A616" t="s">
        <v>54</v>
      </c>
      <c r="B616" s="1">
        <v>45225</v>
      </c>
      <c r="C616" t="s">
        <v>8</v>
      </c>
      <c r="D616">
        <v>1</v>
      </c>
      <c r="E616">
        <v>763.7</v>
      </c>
      <c r="F616">
        <f>IF(Tradebook_2023_2026[[#This Row],[Trade Type]]="buy",-(Tradebook_2023_2026[[#This Row],[Quantity]]*Tradebook_2023_2026[[#This Row],[Price]]),(Tradebook_2023_2026[[#This Row],[Quantity]]*Tradebook_2023_2026[[#This Row],[Price]]))</f>
        <v>-763.7</v>
      </c>
    </row>
    <row r="617" spans="1:6">
      <c r="A617" t="s">
        <v>54</v>
      </c>
      <c r="B617" s="1">
        <v>45225</v>
      </c>
      <c r="C617" t="s">
        <v>8</v>
      </c>
      <c r="D617">
        <v>6</v>
      </c>
      <c r="E617">
        <v>763.7</v>
      </c>
      <c r="F617">
        <f>IF(Tradebook_2023_2026[[#This Row],[Trade Type]]="buy",-(Tradebook_2023_2026[[#This Row],[Quantity]]*Tradebook_2023_2026[[#This Row],[Price]]),(Tradebook_2023_2026[[#This Row],[Quantity]]*Tradebook_2023_2026[[#This Row],[Price]]))</f>
        <v>-4582.2000000000007</v>
      </c>
    </row>
    <row r="618" spans="1:6">
      <c r="A618" t="s">
        <v>54</v>
      </c>
      <c r="B618" s="1">
        <v>45225</v>
      </c>
      <c r="C618" t="s">
        <v>8</v>
      </c>
      <c r="D618">
        <v>5</v>
      </c>
      <c r="E618">
        <v>763.9</v>
      </c>
      <c r="F618">
        <f>IF(Tradebook_2023_2026[[#This Row],[Trade Type]]="buy",-(Tradebook_2023_2026[[#This Row],[Quantity]]*Tradebook_2023_2026[[#This Row],[Price]]),(Tradebook_2023_2026[[#This Row],[Quantity]]*Tradebook_2023_2026[[#This Row],[Price]]))</f>
        <v>-3819.5</v>
      </c>
    </row>
    <row r="619" spans="1:6">
      <c r="A619" t="s">
        <v>54</v>
      </c>
      <c r="B619" s="1">
        <v>45225</v>
      </c>
      <c r="C619" t="s">
        <v>8</v>
      </c>
      <c r="D619">
        <v>1</v>
      </c>
      <c r="E619">
        <v>763.25</v>
      </c>
      <c r="F619">
        <f>IF(Tradebook_2023_2026[[#This Row],[Trade Type]]="buy",-(Tradebook_2023_2026[[#This Row],[Quantity]]*Tradebook_2023_2026[[#This Row],[Price]]),(Tradebook_2023_2026[[#This Row],[Quantity]]*Tradebook_2023_2026[[#This Row],[Price]]))</f>
        <v>-763.25</v>
      </c>
    </row>
    <row r="620" spans="1:6">
      <c r="A620" t="s">
        <v>54</v>
      </c>
      <c r="B620" s="1">
        <v>45225</v>
      </c>
      <c r="C620" t="s">
        <v>8</v>
      </c>
      <c r="D620">
        <v>1</v>
      </c>
      <c r="E620">
        <v>763.3</v>
      </c>
      <c r="F620">
        <f>IF(Tradebook_2023_2026[[#This Row],[Trade Type]]="buy",-(Tradebook_2023_2026[[#This Row],[Quantity]]*Tradebook_2023_2026[[#This Row],[Price]]),(Tradebook_2023_2026[[#This Row],[Quantity]]*Tradebook_2023_2026[[#This Row],[Price]]))</f>
        <v>-763.3</v>
      </c>
    </row>
    <row r="621" spans="1:6">
      <c r="A621" t="s">
        <v>54</v>
      </c>
      <c r="B621" s="1">
        <v>45225</v>
      </c>
      <c r="C621" t="s">
        <v>8</v>
      </c>
      <c r="D621">
        <v>1</v>
      </c>
      <c r="E621">
        <v>763.4</v>
      </c>
      <c r="F621">
        <f>IF(Tradebook_2023_2026[[#This Row],[Trade Type]]="buy",-(Tradebook_2023_2026[[#This Row],[Quantity]]*Tradebook_2023_2026[[#This Row],[Price]]),(Tradebook_2023_2026[[#This Row],[Quantity]]*Tradebook_2023_2026[[#This Row],[Price]]))</f>
        <v>-763.4</v>
      </c>
    </row>
    <row r="622" spans="1:6">
      <c r="A622" t="s">
        <v>54</v>
      </c>
      <c r="B622" s="1">
        <v>45225</v>
      </c>
      <c r="C622" t="s">
        <v>8</v>
      </c>
      <c r="D622">
        <v>1</v>
      </c>
      <c r="E622">
        <v>764.2</v>
      </c>
      <c r="F622">
        <f>IF(Tradebook_2023_2026[[#This Row],[Trade Type]]="buy",-(Tradebook_2023_2026[[#This Row],[Quantity]]*Tradebook_2023_2026[[#This Row],[Price]]),(Tradebook_2023_2026[[#This Row],[Quantity]]*Tradebook_2023_2026[[#This Row],[Price]]))</f>
        <v>-764.2</v>
      </c>
    </row>
    <row r="623" spans="1:6">
      <c r="A623" t="s">
        <v>54</v>
      </c>
      <c r="B623" s="1">
        <v>45225</v>
      </c>
      <c r="C623" t="s">
        <v>8</v>
      </c>
      <c r="D623">
        <v>1</v>
      </c>
      <c r="E623">
        <v>763.9</v>
      </c>
      <c r="F623">
        <f>IF(Tradebook_2023_2026[[#This Row],[Trade Type]]="buy",-(Tradebook_2023_2026[[#This Row],[Quantity]]*Tradebook_2023_2026[[#This Row],[Price]]),(Tradebook_2023_2026[[#This Row],[Quantity]]*Tradebook_2023_2026[[#This Row],[Price]]))</f>
        <v>-763.9</v>
      </c>
    </row>
    <row r="624" spans="1:6">
      <c r="A624" t="s">
        <v>81</v>
      </c>
      <c r="B624" s="1">
        <v>45230</v>
      </c>
      <c r="C624" t="s">
        <v>8</v>
      </c>
      <c r="D624">
        <v>9</v>
      </c>
      <c r="E624">
        <v>634</v>
      </c>
      <c r="F624">
        <f>IF(Tradebook_2023_2026[[#This Row],[Trade Type]]="buy",-(Tradebook_2023_2026[[#This Row],[Quantity]]*Tradebook_2023_2026[[#This Row],[Price]]),(Tradebook_2023_2026[[#This Row],[Quantity]]*Tradebook_2023_2026[[#This Row],[Price]]))</f>
        <v>-5706</v>
      </c>
    </row>
    <row r="625" spans="1:6">
      <c r="A625" t="s">
        <v>81</v>
      </c>
      <c r="B625" s="1">
        <v>45231</v>
      </c>
      <c r="C625" t="s">
        <v>8</v>
      </c>
      <c r="D625">
        <v>6</v>
      </c>
      <c r="E625">
        <v>617.95000000000005</v>
      </c>
      <c r="F625">
        <f>IF(Tradebook_2023_2026[[#This Row],[Trade Type]]="buy",-(Tradebook_2023_2026[[#This Row],[Quantity]]*Tradebook_2023_2026[[#This Row],[Price]]),(Tradebook_2023_2026[[#This Row],[Quantity]]*Tradebook_2023_2026[[#This Row],[Price]]))</f>
        <v>-3707.7000000000003</v>
      </c>
    </row>
    <row r="626" spans="1:6">
      <c r="A626" t="s">
        <v>81</v>
      </c>
      <c r="B626" s="1">
        <v>45231</v>
      </c>
      <c r="C626" t="s">
        <v>8</v>
      </c>
      <c r="D626">
        <v>8</v>
      </c>
      <c r="E626">
        <v>617.9</v>
      </c>
      <c r="F626">
        <f>IF(Tradebook_2023_2026[[#This Row],[Trade Type]]="buy",-(Tradebook_2023_2026[[#This Row],[Quantity]]*Tradebook_2023_2026[[#This Row],[Price]]),(Tradebook_2023_2026[[#This Row],[Quantity]]*Tradebook_2023_2026[[#This Row],[Price]]))</f>
        <v>-4943.2</v>
      </c>
    </row>
    <row r="627" spans="1:6">
      <c r="A627" t="s">
        <v>81</v>
      </c>
      <c r="B627" s="1">
        <v>45231</v>
      </c>
      <c r="C627" t="s">
        <v>8</v>
      </c>
      <c r="D627">
        <v>1</v>
      </c>
      <c r="E627">
        <v>617.95000000000005</v>
      </c>
      <c r="F627">
        <f>IF(Tradebook_2023_2026[[#This Row],[Trade Type]]="buy",-(Tradebook_2023_2026[[#This Row],[Quantity]]*Tradebook_2023_2026[[#This Row],[Price]]),(Tradebook_2023_2026[[#This Row],[Quantity]]*Tradebook_2023_2026[[#This Row],[Price]]))</f>
        <v>-617.95000000000005</v>
      </c>
    </row>
    <row r="628" spans="1:6">
      <c r="A628" t="s">
        <v>81</v>
      </c>
      <c r="B628" s="1">
        <v>45231</v>
      </c>
      <c r="C628" t="s">
        <v>8</v>
      </c>
      <c r="D628">
        <v>36</v>
      </c>
      <c r="E628">
        <v>617.6</v>
      </c>
      <c r="F628">
        <f>IF(Tradebook_2023_2026[[#This Row],[Trade Type]]="buy",-(Tradebook_2023_2026[[#This Row],[Quantity]]*Tradebook_2023_2026[[#This Row],[Price]]),(Tradebook_2023_2026[[#This Row],[Quantity]]*Tradebook_2023_2026[[#This Row],[Price]]))</f>
        <v>-22233.600000000002</v>
      </c>
    </row>
    <row r="629" spans="1:6">
      <c r="A629" t="s">
        <v>81</v>
      </c>
      <c r="B629" s="1">
        <v>45231</v>
      </c>
      <c r="C629" t="s">
        <v>8</v>
      </c>
      <c r="D629">
        <v>50</v>
      </c>
      <c r="E629">
        <v>617.9</v>
      </c>
      <c r="F629">
        <f>IF(Tradebook_2023_2026[[#This Row],[Trade Type]]="buy",-(Tradebook_2023_2026[[#This Row],[Quantity]]*Tradebook_2023_2026[[#This Row],[Price]]),(Tradebook_2023_2026[[#This Row],[Quantity]]*Tradebook_2023_2026[[#This Row],[Price]]))</f>
        <v>-30895</v>
      </c>
    </row>
    <row r="630" spans="1:6">
      <c r="A630" t="s">
        <v>81</v>
      </c>
      <c r="B630" s="1">
        <v>45231</v>
      </c>
      <c r="C630" t="s">
        <v>8</v>
      </c>
      <c r="D630">
        <v>2</v>
      </c>
      <c r="E630">
        <v>617.75</v>
      </c>
      <c r="F630">
        <f>IF(Tradebook_2023_2026[[#This Row],[Trade Type]]="buy",-(Tradebook_2023_2026[[#This Row],[Quantity]]*Tradebook_2023_2026[[#This Row],[Price]]),(Tradebook_2023_2026[[#This Row],[Quantity]]*Tradebook_2023_2026[[#This Row],[Price]]))</f>
        <v>-1235.5</v>
      </c>
    </row>
    <row r="631" spans="1:6">
      <c r="A631" t="s">
        <v>54</v>
      </c>
      <c r="B631" s="1">
        <v>45242</v>
      </c>
      <c r="C631" t="s">
        <v>8</v>
      </c>
      <c r="D631">
        <v>17</v>
      </c>
      <c r="E631">
        <v>890</v>
      </c>
      <c r="F631">
        <f>IF(Tradebook_2023_2026[[#This Row],[Trade Type]]="buy",-(Tradebook_2023_2026[[#This Row],[Quantity]]*Tradebook_2023_2026[[#This Row],[Price]]),(Tradebook_2023_2026[[#This Row],[Quantity]]*Tradebook_2023_2026[[#This Row],[Price]]))</f>
        <v>-15130</v>
      </c>
    </row>
    <row r="632" spans="1:6">
      <c r="A632" t="s">
        <v>54</v>
      </c>
      <c r="B632" s="1">
        <v>45242</v>
      </c>
      <c r="C632" t="s">
        <v>8</v>
      </c>
      <c r="D632">
        <v>5</v>
      </c>
      <c r="E632">
        <v>890</v>
      </c>
      <c r="F632">
        <f>IF(Tradebook_2023_2026[[#This Row],[Trade Type]]="buy",-(Tradebook_2023_2026[[#This Row],[Quantity]]*Tradebook_2023_2026[[#This Row],[Price]]),(Tradebook_2023_2026[[#This Row],[Quantity]]*Tradebook_2023_2026[[#This Row],[Price]]))</f>
        <v>-4450</v>
      </c>
    </row>
    <row r="633" spans="1:6">
      <c r="A633" t="s">
        <v>100</v>
      </c>
      <c r="B633" s="1">
        <v>45247</v>
      </c>
      <c r="C633" t="s">
        <v>8</v>
      </c>
      <c r="D633">
        <v>94</v>
      </c>
      <c r="E633">
        <v>41.45</v>
      </c>
      <c r="F633">
        <f>IF(Tradebook_2023_2026[[#This Row],[Trade Type]]="buy",-(Tradebook_2023_2026[[#This Row],[Quantity]]*Tradebook_2023_2026[[#This Row],[Price]]),(Tradebook_2023_2026[[#This Row],[Quantity]]*Tradebook_2023_2026[[#This Row],[Price]]))</f>
        <v>-3896.3</v>
      </c>
    </row>
    <row r="634" spans="1:6">
      <c r="A634" t="s">
        <v>100</v>
      </c>
      <c r="B634" s="1">
        <v>45247</v>
      </c>
      <c r="C634" t="s">
        <v>8</v>
      </c>
      <c r="D634">
        <v>17</v>
      </c>
      <c r="E634">
        <v>42</v>
      </c>
      <c r="F634">
        <f>IF(Tradebook_2023_2026[[#This Row],[Trade Type]]="buy",-(Tradebook_2023_2026[[#This Row],[Quantity]]*Tradebook_2023_2026[[#This Row],[Price]]),(Tradebook_2023_2026[[#This Row],[Quantity]]*Tradebook_2023_2026[[#This Row],[Price]]))</f>
        <v>-714</v>
      </c>
    </row>
    <row r="635" spans="1:6">
      <c r="A635" t="s">
        <v>100</v>
      </c>
      <c r="B635" s="1">
        <v>45247</v>
      </c>
      <c r="C635" t="s">
        <v>8</v>
      </c>
      <c r="D635">
        <v>509</v>
      </c>
      <c r="E635">
        <v>42</v>
      </c>
      <c r="F635">
        <f>IF(Tradebook_2023_2026[[#This Row],[Trade Type]]="buy",-(Tradebook_2023_2026[[#This Row],[Quantity]]*Tradebook_2023_2026[[#This Row],[Price]]),(Tradebook_2023_2026[[#This Row],[Quantity]]*Tradebook_2023_2026[[#This Row],[Price]]))</f>
        <v>-21378</v>
      </c>
    </row>
    <row r="636" spans="1:6">
      <c r="A636" t="s">
        <v>106</v>
      </c>
      <c r="B636" s="1">
        <v>45455</v>
      </c>
      <c r="C636" t="s">
        <v>8</v>
      </c>
      <c r="D636">
        <v>1178</v>
      </c>
      <c r="E636">
        <v>98.35</v>
      </c>
      <c r="F636">
        <f>IF(Tradebook_2023_2026[[#This Row],[Trade Type]]="buy",-(Tradebook_2023_2026[[#This Row],[Quantity]]*Tradebook_2023_2026[[#This Row],[Price]]),(Tradebook_2023_2026[[#This Row],[Quantity]]*Tradebook_2023_2026[[#This Row],[Price]]))</f>
        <v>-115856.29999999999</v>
      </c>
    </row>
    <row r="637" spans="1:6">
      <c r="A637" t="s">
        <v>106</v>
      </c>
      <c r="B637" s="1">
        <v>45455</v>
      </c>
      <c r="C637" t="s">
        <v>8</v>
      </c>
      <c r="D637">
        <v>20</v>
      </c>
      <c r="E637">
        <v>98.35</v>
      </c>
      <c r="F637">
        <f>IF(Tradebook_2023_2026[[#This Row],[Trade Type]]="buy",-(Tradebook_2023_2026[[#This Row],[Quantity]]*Tradebook_2023_2026[[#This Row],[Price]]),(Tradebook_2023_2026[[#This Row],[Quantity]]*Tradebook_2023_2026[[#This Row],[Price]]))</f>
        <v>-1967</v>
      </c>
    </row>
    <row r="638" spans="1:6">
      <c r="A638" t="s">
        <v>106</v>
      </c>
      <c r="B638" s="1">
        <v>45455</v>
      </c>
      <c r="C638" t="s">
        <v>8</v>
      </c>
      <c r="D638">
        <v>289</v>
      </c>
      <c r="E638">
        <v>98.35</v>
      </c>
      <c r="F638">
        <f>IF(Tradebook_2023_2026[[#This Row],[Trade Type]]="buy",-(Tradebook_2023_2026[[#This Row],[Quantity]]*Tradebook_2023_2026[[#This Row],[Price]]),(Tradebook_2023_2026[[#This Row],[Quantity]]*Tradebook_2023_2026[[#This Row],[Price]]))</f>
        <v>-28423.149999999998</v>
      </c>
    </row>
    <row r="639" spans="1:6">
      <c r="A639" t="s">
        <v>106</v>
      </c>
      <c r="B639" s="1">
        <v>45455</v>
      </c>
      <c r="C639" t="s">
        <v>8</v>
      </c>
      <c r="D639">
        <v>513</v>
      </c>
      <c r="E639">
        <v>98.35</v>
      </c>
      <c r="F639">
        <f>IF(Tradebook_2023_2026[[#This Row],[Trade Type]]="buy",-(Tradebook_2023_2026[[#This Row],[Quantity]]*Tradebook_2023_2026[[#This Row],[Price]]),(Tradebook_2023_2026[[#This Row],[Quantity]]*Tradebook_2023_2026[[#This Row],[Price]]))</f>
        <v>-50453.549999999996</v>
      </c>
    </row>
    <row r="640" spans="1:6">
      <c r="A640" t="s">
        <v>107</v>
      </c>
      <c r="B640" s="1">
        <v>45455</v>
      </c>
      <c r="C640" t="s">
        <v>6</v>
      </c>
      <c r="D640">
        <v>4</v>
      </c>
      <c r="E640">
        <v>1601.65</v>
      </c>
      <c r="F640">
        <f>IF(Tradebook_2023_2026[[#This Row],[Trade Type]]="buy",-(Tradebook_2023_2026[[#This Row],[Quantity]]*Tradebook_2023_2026[[#This Row],[Price]]),(Tradebook_2023_2026[[#This Row],[Quantity]]*Tradebook_2023_2026[[#This Row],[Price]]))</f>
        <v>6406.6</v>
      </c>
    </row>
    <row r="641" spans="1:6">
      <c r="A641" t="s">
        <v>107</v>
      </c>
      <c r="B641" s="1">
        <v>45455</v>
      </c>
      <c r="C641" t="s">
        <v>6</v>
      </c>
      <c r="D641">
        <v>2</v>
      </c>
      <c r="E641">
        <v>1601.6</v>
      </c>
      <c r="F641">
        <f>IF(Tradebook_2023_2026[[#This Row],[Trade Type]]="buy",-(Tradebook_2023_2026[[#This Row],[Quantity]]*Tradebook_2023_2026[[#This Row],[Price]]),(Tradebook_2023_2026[[#This Row],[Quantity]]*Tradebook_2023_2026[[#This Row],[Price]]))</f>
        <v>3203.2</v>
      </c>
    </row>
    <row r="642" spans="1:6">
      <c r="A642" t="s">
        <v>107</v>
      </c>
      <c r="B642" s="1">
        <v>45455</v>
      </c>
      <c r="C642" t="s">
        <v>6</v>
      </c>
      <c r="D642">
        <v>3</v>
      </c>
      <c r="E642">
        <v>1602</v>
      </c>
      <c r="F642">
        <f>IF(Tradebook_2023_2026[[#This Row],[Trade Type]]="buy",-(Tradebook_2023_2026[[#This Row],[Quantity]]*Tradebook_2023_2026[[#This Row],[Price]]),(Tradebook_2023_2026[[#This Row],[Quantity]]*Tradebook_2023_2026[[#This Row],[Price]]))</f>
        <v>4806</v>
      </c>
    </row>
    <row r="643" spans="1:6">
      <c r="A643" t="s">
        <v>107</v>
      </c>
      <c r="B643" s="1">
        <v>45455</v>
      </c>
      <c r="C643" t="s">
        <v>6</v>
      </c>
      <c r="D643">
        <v>1</v>
      </c>
      <c r="E643">
        <v>1601.45</v>
      </c>
      <c r="F643">
        <f>IF(Tradebook_2023_2026[[#This Row],[Trade Type]]="buy",-(Tradebook_2023_2026[[#This Row],[Quantity]]*Tradebook_2023_2026[[#This Row],[Price]]),(Tradebook_2023_2026[[#This Row],[Quantity]]*Tradebook_2023_2026[[#This Row],[Price]]))</f>
        <v>1601.45</v>
      </c>
    </row>
    <row r="644" spans="1:6">
      <c r="A644" t="s">
        <v>107</v>
      </c>
      <c r="B644" s="1">
        <v>45455</v>
      </c>
      <c r="C644" t="s">
        <v>6</v>
      </c>
      <c r="D644">
        <v>1</v>
      </c>
      <c r="E644">
        <v>1601.4</v>
      </c>
      <c r="F644">
        <f>IF(Tradebook_2023_2026[[#This Row],[Trade Type]]="buy",-(Tradebook_2023_2026[[#This Row],[Quantity]]*Tradebook_2023_2026[[#This Row],[Price]]),(Tradebook_2023_2026[[#This Row],[Quantity]]*Tradebook_2023_2026[[#This Row],[Price]]))</f>
        <v>1601.4</v>
      </c>
    </row>
    <row r="645" spans="1:6">
      <c r="A645" t="s">
        <v>107</v>
      </c>
      <c r="B645" s="1">
        <v>45455</v>
      </c>
      <c r="C645" t="s">
        <v>6</v>
      </c>
      <c r="D645">
        <v>3</v>
      </c>
      <c r="E645">
        <v>1601.25</v>
      </c>
      <c r="F645">
        <f>IF(Tradebook_2023_2026[[#This Row],[Trade Type]]="buy",-(Tradebook_2023_2026[[#This Row],[Quantity]]*Tradebook_2023_2026[[#This Row],[Price]]),(Tradebook_2023_2026[[#This Row],[Quantity]]*Tradebook_2023_2026[[#This Row],[Price]]))</f>
        <v>4803.75</v>
      </c>
    </row>
    <row r="646" spans="1:6">
      <c r="A646" t="s">
        <v>107</v>
      </c>
      <c r="B646" s="1">
        <v>45455</v>
      </c>
      <c r="C646" t="s">
        <v>6</v>
      </c>
      <c r="D646">
        <v>1</v>
      </c>
      <c r="E646">
        <v>1601.05</v>
      </c>
      <c r="F646">
        <f>IF(Tradebook_2023_2026[[#This Row],[Trade Type]]="buy",-(Tradebook_2023_2026[[#This Row],[Quantity]]*Tradebook_2023_2026[[#This Row],[Price]]),(Tradebook_2023_2026[[#This Row],[Quantity]]*Tradebook_2023_2026[[#This Row],[Price]]))</f>
        <v>1601.05</v>
      </c>
    </row>
    <row r="647" spans="1:6">
      <c r="A647" t="s">
        <v>107</v>
      </c>
      <c r="B647" s="1">
        <v>45455</v>
      </c>
      <c r="C647" t="s">
        <v>6</v>
      </c>
      <c r="D647">
        <v>1</v>
      </c>
      <c r="E647">
        <v>1601.25</v>
      </c>
      <c r="F647">
        <f>IF(Tradebook_2023_2026[[#This Row],[Trade Type]]="buy",-(Tradebook_2023_2026[[#This Row],[Quantity]]*Tradebook_2023_2026[[#This Row],[Price]]),(Tradebook_2023_2026[[#This Row],[Quantity]]*Tradebook_2023_2026[[#This Row],[Price]]))</f>
        <v>1601.25</v>
      </c>
    </row>
    <row r="648" spans="1:6">
      <c r="A648" t="s">
        <v>107</v>
      </c>
      <c r="B648" s="1">
        <v>45455</v>
      </c>
      <c r="C648" t="s">
        <v>6</v>
      </c>
      <c r="D648">
        <v>2</v>
      </c>
      <c r="E648">
        <v>1601.05</v>
      </c>
      <c r="F648">
        <f>IF(Tradebook_2023_2026[[#This Row],[Trade Type]]="buy",-(Tradebook_2023_2026[[#This Row],[Quantity]]*Tradebook_2023_2026[[#This Row],[Price]]),(Tradebook_2023_2026[[#This Row],[Quantity]]*Tradebook_2023_2026[[#This Row],[Price]]))</f>
        <v>3202.1</v>
      </c>
    </row>
    <row r="649" spans="1:6">
      <c r="A649" t="s">
        <v>107</v>
      </c>
      <c r="B649" s="1">
        <v>45455</v>
      </c>
      <c r="C649" t="s">
        <v>6</v>
      </c>
      <c r="D649">
        <v>11</v>
      </c>
      <c r="E649">
        <v>1601</v>
      </c>
      <c r="F649">
        <f>IF(Tradebook_2023_2026[[#This Row],[Trade Type]]="buy",-(Tradebook_2023_2026[[#This Row],[Quantity]]*Tradebook_2023_2026[[#This Row],[Price]]),(Tradebook_2023_2026[[#This Row],[Quantity]]*Tradebook_2023_2026[[#This Row],[Price]]))</f>
        <v>17611</v>
      </c>
    </row>
    <row r="650" spans="1:6">
      <c r="A650" t="s">
        <v>107</v>
      </c>
      <c r="B650" s="1">
        <v>45455</v>
      </c>
      <c r="C650" t="s">
        <v>6</v>
      </c>
      <c r="D650">
        <v>2</v>
      </c>
      <c r="E650">
        <v>1601.7</v>
      </c>
      <c r="F650">
        <f>IF(Tradebook_2023_2026[[#This Row],[Trade Type]]="buy",-(Tradebook_2023_2026[[#This Row],[Quantity]]*Tradebook_2023_2026[[#This Row],[Price]]),(Tradebook_2023_2026[[#This Row],[Quantity]]*Tradebook_2023_2026[[#This Row],[Price]]))</f>
        <v>3203.4</v>
      </c>
    </row>
    <row r="651" spans="1:6">
      <c r="A651" t="s">
        <v>67</v>
      </c>
      <c r="B651" s="1">
        <v>45455</v>
      </c>
      <c r="C651" t="s">
        <v>6</v>
      </c>
      <c r="D651">
        <v>29</v>
      </c>
      <c r="E651">
        <v>114.16</v>
      </c>
      <c r="F651">
        <f>IF(Tradebook_2023_2026[[#This Row],[Trade Type]]="buy",-(Tradebook_2023_2026[[#This Row],[Quantity]]*Tradebook_2023_2026[[#This Row],[Price]]),(Tradebook_2023_2026[[#This Row],[Quantity]]*Tradebook_2023_2026[[#This Row],[Price]]))</f>
        <v>3310.64</v>
      </c>
    </row>
    <row r="652" spans="1:6">
      <c r="A652" t="s">
        <v>67</v>
      </c>
      <c r="B652" s="1">
        <v>45455</v>
      </c>
      <c r="C652" t="s">
        <v>6</v>
      </c>
      <c r="D652">
        <v>21</v>
      </c>
      <c r="E652">
        <v>114.16</v>
      </c>
      <c r="F652">
        <f>IF(Tradebook_2023_2026[[#This Row],[Trade Type]]="buy",-(Tradebook_2023_2026[[#This Row],[Quantity]]*Tradebook_2023_2026[[#This Row],[Price]]),(Tradebook_2023_2026[[#This Row],[Quantity]]*Tradebook_2023_2026[[#This Row],[Price]]))</f>
        <v>2397.36</v>
      </c>
    </row>
    <row r="653" spans="1:6">
      <c r="A653" t="s">
        <v>67</v>
      </c>
      <c r="B653" s="1">
        <v>45455</v>
      </c>
      <c r="C653" t="s">
        <v>6</v>
      </c>
      <c r="D653">
        <v>28</v>
      </c>
      <c r="E653">
        <v>114.16</v>
      </c>
      <c r="F653">
        <f>IF(Tradebook_2023_2026[[#This Row],[Trade Type]]="buy",-(Tradebook_2023_2026[[#This Row],[Quantity]]*Tradebook_2023_2026[[#This Row],[Price]]),(Tradebook_2023_2026[[#This Row],[Quantity]]*Tradebook_2023_2026[[#This Row],[Price]]))</f>
        <v>3196.48</v>
      </c>
    </row>
    <row r="654" spans="1:6">
      <c r="A654" t="s">
        <v>67</v>
      </c>
      <c r="B654" s="1">
        <v>45455</v>
      </c>
      <c r="C654" t="s">
        <v>6</v>
      </c>
      <c r="D654">
        <v>42</v>
      </c>
      <c r="E654">
        <v>114.15</v>
      </c>
      <c r="F654">
        <f>IF(Tradebook_2023_2026[[#This Row],[Trade Type]]="buy",-(Tradebook_2023_2026[[#This Row],[Quantity]]*Tradebook_2023_2026[[#This Row],[Price]]),(Tradebook_2023_2026[[#This Row],[Quantity]]*Tradebook_2023_2026[[#This Row],[Price]]))</f>
        <v>4794.3</v>
      </c>
    </row>
    <row r="655" spans="1:6">
      <c r="A655" t="s">
        <v>67</v>
      </c>
      <c r="B655" s="1">
        <v>45455</v>
      </c>
      <c r="C655" t="s">
        <v>6</v>
      </c>
      <c r="D655">
        <v>6</v>
      </c>
      <c r="E655">
        <v>114.13</v>
      </c>
      <c r="F655">
        <f>IF(Tradebook_2023_2026[[#This Row],[Trade Type]]="buy",-(Tradebook_2023_2026[[#This Row],[Quantity]]*Tradebook_2023_2026[[#This Row],[Price]]),(Tradebook_2023_2026[[#This Row],[Quantity]]*Tradebook_2023_2026[[#This Row],[Price]]))</f>
        <v>684.78</v>
      </c>
    </row>
    <row r="656" spans="1:6">
      <c r="A656" t="s">
        <v>67</v>
      </c>
      <c r="B656" s="1">
        <v>45455</v>
      </c>
      <c r="C656" t="s">
        <v>6</v>
      </c>
      <c r="D656">
        <v>21</v>
      </c>
      <c r="E656">
        <v>114.12</v>
      </c>
      <c r="F656">
        <f>IF(Tradebook_2023_2026[[#This Row],[Trade Type]]="buy",-(Tradebook_2023_2026[[#This Row],[Quantity]]*Tradebook_2023_2026[[#This Row],[Price]]),(Tradebook_2023_2026[[#This Row],[Quantity]]*Tradebook_2023_2026[[#This Row],[Price]]))</f>
        <v>2396.52</v>
      </c>
    </row>
    <row r="657" spans="1:6">
      <c r="A657" t="s">
        <v>67</v>
      </c>
      <c r="B657" s="1">
        <v>45455</v>
      </c>
      <c r="C657" t="s">
        <v>6</v>
      </c>
      <c r="D657">
        <v>8</v>
      </c>
      <c r="E657">
        <v>114.12</v>
      </c>
      <c r="F657">
        <f>IF(Tradebook_2023_2026[[#This Row],[Trade Type]]="buy",-(Tradebook_2023_2026[[#This Row],[Quantity]]*Tradebook_2023_2026[[#This Row],[Price]]),(Tradebook_2023_2026[[#This Row],[Quantity]]*Tradebook_2023_2026[[#This Row],[Price]]))</f>
        <v>912.96</v>
      </c>
    </row>
    <row r="658" spans="1:6">
      <c r="A658" t="s">
        <v>67</v>
      </c>
      <c r="B658" s="1">
        <v>45455</v>
      </c>
      <c r="C658" t="s">
        <v>6</v>
      </c>
      <c r="D658">
        <v>98</v>
      </c>
      <c r="E658">
        <v>114.21</v>
      </c>
      <c r="F658">
        <f>IF(Tradebook_2023_2026[[#This Row],[Trade Type]]="buy",-(Tradebook_2023_2026[[#This Row],[Quantity]]*Tradebook_2023_2026[[#This Row],[Price]]),(Tradebook_2023_2026[[#This Row],[Quantity]]*Tradebook_2023_2026[[#This Row],[Price]]))</f>
        <v>11192.58</v>
      </c>
    </row>
    <row r="659" spans="1:6">
      <c r="A659" t="s">
        <v>67</v>
      </c>
      <c r="B659" s="1">
        <v>45455</v>
      </c>
      <c r="C659" t="s">
        <v>6</v>
      </c>
      <c r="D659">
        <v>10</v>
      </c>
      <c r="E659">
        <v>114.28</v>
      </c>
      <c r="F659">
        <f>IF(Tradebook_2023_2026[[#This Row],[Trade Type]]="buy",-(Tradebook_2023_2026[[#This Row],[Quantity]]*Tradebook_2023_2026[[#This Row],[Price]]),(Tradebook_2023_2026[[#This Row],[Quantity]]*Tradebook_2023_2026[[#This Row],[Price]]))</f>
        <v>1142.8</v>
      </c>
    </row>
    <row r="660" spans="1:6">
      <c r="A660" t="s">
        <v>67</v>
      </c>
      <c r="B660" s="1">
        <v>45455</v>
      </c>
      <c r="C660" t="s">
        <v>6</v>
      </c>
      <c r="D660">
        <v>2</v>
      </c>
      <c r="E660">
        <v>114.28</v>
      </c>
      <c r="F660">
        <f>IF(Tradebook_2023_2026[[#This Row],[Trade Type]]="buy",-(Tradebook_2023_2026[[#This Row],[Quantity]]*Tradebook_2023_2026[[#This Row],[Price]]),(Tradebook_2023_2026[[#This Row],[Quantity]]*Tradebook_2023_2026[[#This Row],[Price]]))</f>
        <v>228.56</v>
      </c>
    </row>
    <row r="661" spans="1:6">
      <c r="A661" t="s">
        <v>67</v>
      </c>
      <c r="B661" s="1">
        <v>45455</v>
      </c>
      <c r="C661" t="s">
        <v>6</v>
      </c>
      <c r="D661">
        <v>45</v>
      </c>
      <c r="E661">
        <v>114.28</v>
      </c>
      <c r="F661">
        <f>IF(Tradebook_2023_2026[[#This Row],[Trade Type]]="buy",-(Tradebook_2023_2026[[#This Row],[Quantity]]*Tradebook_2023_2026[[#This Row],[Price]]),(Tradebook_2023_2026[[#This Row],[Quantity]]*Tradebook_2023_2026[[#This Row],[Price]]))</f>
        <v>5142.6000000000004</v>
      </c>
    </row>
    <row r="662" spans="1:6">
      <c r="A662" t="s">
        <v>67</v>
      </c>
      <c r="B662" s="1">
        <v>45455</v>
      </c>
      <c r="C662" t="s">
        <v>6</v>
      </c>
      <c r="D662">
        <v>21</v>
      </c>
      <c r="E662">
        <v>114.27</v>
      </c>
      <c r="F662">
        <f>IF(Tradebook_2023_2026[[#This Row],[Trade Type]]="buy",-(Tradebook_2023_2026[[#This Row],[Quantity]]*Tradebook_2023_2026[[#This Row],[Price]]),(Tradebook_2023_2026[[#This Row],[Quantity]]*Tradebook_2023_2026[[#This Row],[Price]]))</f>
        <v>2399.67</v>
      </c>
    </row>
    <row r="663" spans="1:6">
      <c r="A663" t="s">
        <v>67</v>
      </c>
      <c r="B663" s="1">
        <v>45455</v>
      </c>
      <c r="C663" t="s">
        <v>6</v>
      </c>
      <c r="D663">
        <v>2</v>
      </c>
      <c r="E663">
        <v>114.26</v>
      </c>
      <c r="F663">
        <f>IF(Tradebook_2023_2026[[#This Row],[Trade Type]]="buy",-(Tradebook_2023_2026[[#This Row],[Quantity]]*Tradebook_2023_2026[[#This Row],[Price]]),(Tradebook_2023_2026[[#This Row],[Quantity]]*Tradebook_2023_2026[[#This Row],[Price]]))</f>
        <v>228.52</v>
      </c>
    </row>
    <row r="664" spans="1:6">
      <c r="A664" t="s">
        <v>67</v>
      </c>
      <c r="B664" s="1">
        <v>45455</v>
      </c>
      <c r="C664" t="s">
        <v>6</v>
      </c>
      <c r="D664">
        <v>4</v>
      </c>
      <c r="E664">
        <v>114.25</v>
      </c>
      <c r="F664">
        <f>IF(Tradebook_2023_2026[[#This Row],[Trade Type]]="buy",-(Tradebook_2023_2026[[#This Row],[Quantity]]*Tradebook_2023_2026[[#This Row],[Price]]),(Tradebook_2023_2026[[#This Row],[Quantity]]*Tradebook_2023_2026[[#This Row],[Price]]))</f>
        <v>457</v>
      </c>
    </row>
    <row r="665" spans="1:6">
      <c r="A665" t="s">
        <v>67</v>
      </c>
      <c r="B665" s="1">
        <v>45455</v>
      </c>
      <c r="C665" t="s">
        <v>6</v>
      </c>
      <c r="D665">
        <v>43</v>
      </c>
      <c r="E665">
        <v>114.23</v>
      </c>
      <c r="F665">
        <f>IF(Tradebook_2023_2026[[#This Row],[Trade Type]]="buy",-(Tradebook_2023_2026[[#This Row],[Quantity]]*Tradebook_2023_2026[[#This Row],[Price]]),(Tradebook_2023_2026[[#This Row],[Quantity]]*Tradebook_2023_2026[[#This Row],[Price]]))</f>
        <v>4911.8900000000003</v>
      </c>
    </row>
    <row r="666" spans="1:6">
      <c r="A666" t="s">
        <v>67</v>
      </c>
      <c r="B666" s="1">
        <v>45455</v>
      </c>
      <c r="C666" t="s">
        <v>6</v>
      </c>
      <c r="D666">
        <v>4</v>
      </c>
      <c r="E666">
        <v>114.22</v>
      </c>
      <c r="F666">
        <f>IF(Tradebook_2023_2026[[#This Row],[Trade Type]]="buy",-(Tradebook_2023_2026[[#This Row],[Quantity]]*Tradebook_2023_2026[[#This Row],[Price]]),(Tradebook_2023_2026[[#This Row],[Quantity]]*Tradebook_2023_2026[[#This Row],[Price]]))</f>
        <v>456.88</v>
      </c>
    </row>
    <row r="667" spans="1:6">
      <c r="A667" t="s">
        <v>67</v>
      </c>
      <c r="B667" s="1">
        <v>45455</v>
      </c>
      <c r="C667" t="s">
        <v>6</v>
      </c>
      <c r="D667">
        <v>40</v>
      </c>
      <c r="E667">
        <v>114.21</v>
      </c>
      <c r="F667">
        <f>IF(Tradebook_2023_2026[[#This Row],[Trade Type]]="buy",-(Tradebook_2023_2026[[#This Row],[Quantity]]*Tradebook_2023_2026[[#This Row],[Price]]),(Tradebook_2023_2026[[#This Row],[Quantity]]*Tradebook_2023_2026[[#This Row],[Price]]))</f>
        <v>4568.3999999999996</v>
      </c>
    </row>
    <row r="668" spans="1:6">
      <c r="A668" t="s">
        <v>67</v>
      </c>
      <c r="B668" s="1">
        <v>45455</v>
      </c>
      <c r="C668" t="s">
        <v>6</v>
      </c>
      <c r="D668">
        <v>28</v>
      </c>
      <c r="E668">
        <v>114.21</v>
      </c>
      <c r="F668">
        <f>IF(Tradebook_2023_2026[[#This Row],[Trade Type]]="buy",-(Tradebook_2023_2026[[#This Row],[Quantity]]*Tradebook_2023_2026[[#This Row],[Price]]),(Tradebook_2023_2026[[#This Row],[Quantity]]*Tradebook_2023_2026[[#This Row],[Price]]))</f>
        <v>3197.8799999999997</v>
      </c>
    </row>
    <row r="669" spans="1:6">
      <c r="A669" t="s">
        <v>67</v>
      </c>
      <c r="B669" s="1">
        <v>45455</v>
      </c>
      <c r="C669" t="s">
        <v>6</v>
      </c>
      <c r="D669">
        <v>40</v>
      </c>
      <c r="E669">
        <v>114.21</v>
      </c>
      <c r="F669">
        <f>IF(Tradebook_2023_2026[[#This Row],[Trade Type]]="buy",-(Tradebook_2023_2026[[#This Row],[Quantity]]*Tradebook_2023_2026[[#This Row],[Price]]),(Tradebook_2023_2026[[#This Row],[Quantity]]*Tradebook_2023_2026[[#This Row],[Price]]))</f>
        <v>4568.3999999999996</v>
      </c>
    </row>
    <row r="670" spans="1:6">
      <c r="A670" t="s">
        <v>67</v>
      </c>
      <c r="B670" s="1">
        <v>45455</v>
      </c>
      <c r="C670" t="s">
        <v>6</v>
      </c>
      <c r="D670">
        <v>28</v>
      </c>
      <c r="E670">
        <v>114.21</v>
      </c>
      <c r="F670">
        <f>IF(Tradebook_2023_2026[[#This Row],[Trade Type]]="buy",-(Tradebook_2023_2026[[#This Row],[Quantity]]*Tradebook_2023_2026[[#This Row],[Price]]),(Tradebook_2023_2026[[#This Row],[Quantity]]*Tradebook_2023_2026[[#This Row],[Price]]))</f>
        <v>3197.8799999999997</v>
      </c>
    </row>
    <row r="671" spans="1:6">
      <c r="A671" t="s">
        <v>67</v>
      </c>
      <c r="B671" s="1">
        <v>45455</v>
      </c>
      <c r="C671" t="s">
        <v>6</v>
      </c>
      <c r="D671">
        <v>15</v>
      </c>
      <c r="E671">
        <v>114.18</v>
      </c>
      <c r="F671">
        <f>IF(Tradebook_2023_2026[[#This Row],[Trade Type]]="buy",-(Tradebook_2023_2026[[#This Row],[Quantity]]*Tradebook_2023_2026[[#This Row],[Price]]),(Tradebook_2023_2026[[#This Row],[Quantity]]*Tradebook_2023_2026[[#This Row],[Price]]))</f>
        <v>1712.7</v>
      </c>
    </row>
    <row r="672" spans="1:6">
      <c r="A672" t="s">
        <v>67</v>
      </c>
      <c r="B672" s="1">
        <v>45455</v>
      </c>
      <c r="C672" t="s">
        <v>6</v>
      </c>
      <c r="D672">
        <v>21</v>
      </c>
      <c r="E672">
        <v>114.16</v>
      </c>
      <c r="F672">
        <f>IF(Tradebook_2023_2026[[#This Row],[Trade Type]]="buy",-(Tradebook_2023_2026[[#This Row],[Quantity]]*Tradebook_2023_2026[[#This Row],[Price]]),(Tradebook_2023_2026[[#This Row],[Quantity]]*Tradebook_2023_2026[[#This Row],[Price]]))</f>
        <v>2397.36</v>
      </c>
    </row>
    <row r="673" spans="1:6">
      <c r="A673" t="s">
        <v>108</v>
      </c>
      <c r="B673" s="1">
        <v>45455</v>
      </c>
      <c r="C673" t="s">
        <v>6</v>
      </c>
      <c r="D673">
        <v>266</v>
      </c>
      <c r="E673">
        <v>24.52</v>
      </c>
      <c r="F673">
        <f>IF(Tradebook_2023_2026[[#This Row],[Trade Type]]="buy",-(Tradebook_2023_2026[[#This Row],[Quantity]]*Tradebook_2023_2026[[#This Row],[Price]]),(Tradebook_2023_2026[[#This Row],[Quantity]]*Tradebook_2023_2026[[#This Row],[Price]]))</f>
        <v>6522.32</v>
      </c>
    </row>
    <row r="674" spans="1:6">
      <c r="A674" t="s">
        <v>108</v>
      </c>
      <c r="B674" s="1">
        <v>45455</v>
      </c>
      <c r="C674" t="s">
        <v>6</v>
      </c>
      <c r="D674">
        <v>1858</v>
      </c>
      <c r="E674">
        <v>24.51</v>
      </c>
      <c r="F674">
        <f>IF(Tradebook_2023_2026[[#This Row],[Trade Type]]="buy",-(Tradebook_2023_2026[[#This Row],[Quantity]]*Tradebook_2023_2026[[#This Row],[Price]]),(Tradebook_2023_2026[[#This Row],[Quantity]]*Tradebook_2023_2026[[#This Row],[Price]]))</f>
        <v>45539.58</v>
      </c>
    </row>
    <row r="675" spans="1:6">
      <c r="A675" t="s">
        <v>108</v>
      </c>
      <c r="B675" s="1">
        <v>45455</v>
      </c>
      <c r="C675" t="s">
        <v>6</v>
      </c>
      <c r="D675">
        <v>53</v>
      </c>
      <c r="E675">
        <v>24.5</v>
      </c>
      <c r="F675">
        <f>IF(Tradebook_2023_2026[[#This Row],[Trade Type]]="buy",-(Tradebook_2023_2026[[#This Row],[Quantity]]*Tradebook_2023_2026[[#This Row],[Price]]),(Tradebook_2023_2026[[#This Row],[Quantity]]*Tradebook_2023_2026[[#This Row],[Price]]))</f>
        <v>1298.5</v>
      </c>
    </row>
    <row r="676" spans="1:6">
      <c r="A676" t="s">
        <v>109</v>
      </c>
      <c r="B676" s="1">
        <v>45456</v>
      </c>
      <c r="C676" t="s">
        <v>6</v>
      </c>
      <c r="D676">
        <v>1000</v>
      </c>
      <c r="E676">
        <v>39.4</v>
      </c>
      <c r="F676">
        <f>IF(Tradebook_2023_2026[[#This Row],[Trade Type]]="buy",-(Tradebook_2023_2026[[#This Row],[Quantity]]*Tradebook_2023_2026[[#This Row],[Price]]),(Tradebook_2023_2026[[#This Row],[Quantity]]*Tradebook_2023_2026[[#This Row],[Price]]))</f>
        <v>39400</v>
      </c>
    </row>
    <row r="677" spans="1:6">
      <c r="A677" t="s">
        <v>109</v>
      </c>
      <c r="B677" s="1">
        <v>45456</v>
      </c>
      <c r="C677" t="s">
        <v>6</v>
      </c>
      <c r="D677">
        <v>270</v>
      </c>
      <c r="E677">
        <v>39.4</v>
      </c>
      <c r="F677">
        <f>IF(Tradebook_2023_2026[[#This Row],[Trade Type]]="buy",-(Tradebook_2023_2026[[#This Row],[Quantity]]*Tradebook_2023_2026[[#This Row],[Price]]),(Tradebook_2023_2026[[#This Row],[Quantity]]*Tradebook_2023_2026[[#This Row],[Price]]))</f>
        <v>10638</v>
      </c>
    </row>
    <row r="678" spans="1:6">
      <c r="A678" t="s">
        <v>109</v>
      </c>
      <c r="B678" s="1">
        <v>45456</v>
      </c>
      <c r="C678" t="s">
        <v>6</v>
      </c>
      <c r="D678">
        <v>233</v>
      </c>
      <c r="E678">
        <v>39.4</v>
      </c>
      <c r="F678">
        <f>IF(Tradebook_2023_2026[[#This Row],[Trade Type]]="buy",-(Tradebook_2023_2026[[#This Row],[Quantity]]*Tradebook_2023_2026[[#This Row],[Price]]),(Tradebook_2023_2026[[#This Row],[Quantity]]*Tradebook_2023_2026[[#This Row],[Price]]))</f>
        <v>9180.1999999999989</v>
      </c>
    </row>
    <row r="679" spans="1:6">
      <c r="A679" t="s">
        <v>90</v>
      </c>
      <c r="B679" s="1">
        <v>45462</v>
      </c>
      <c r="C679" t="s">
        <v>8</v>
      </c>
      <c r="D679">
        <v>30</v>
      </c>
      <c r="E679">
        <v>384.45</v>
      </c>
      <c r="F679">
        <f>IF(Tradebook_2023_2026[[#This Row],[Trade Type]]="buy",-(Tradebook_2023_2026[[#This Row],[Quantity]]*Tradebook_2023_2026[[#This Row],[Price]]),(Tradebook_2023_2026[[#This Row],[Quantity]]*Tradebook_2023_2026[[#This Row],[Price]]))</f>
        <v>-11533.5</v>
      </c>
    </row>
    <row r="680" spans="1:6">
      <c r="A680" t="s">
        <v>90</v>
      </c>
      <c r="B680" s="1">
        <v>45462</v>
      </c>
      <c r="C680" t="s">
        <v>8</v>
      </c>
      <c r="D680">
        <v>15</v>
      </c>
      <c r="E680">
        <v>384.45</v>
      </c>
      <c r="F680">
        <f>IF(Tradebook_2023_2026[[#This Row],[Trade Type]]="buy",-(Tradebook_2023_2026[[#This Row],[Quantity]]*Tradebook_2023_2026[[#This Row],[Price]]),(Tradebook_2023_2026[[#This Row],[Quantity]]*Tradebook_2023_2026[[#This Row],[Price]]))</f>
        <v>-5766.75</v>
      </c>
    </row>
    <row r="681" spans="1:6">
      <c r="A681" t="s">
        <v>90</v>
      </c>
      <c r="B681" s="1">
        <v>45462</v>
      </c>
      <c r="C681" t="s">
        <v>8</v>
      </c>
      <c r="D681">
        <v>28</v>
      </c>
      <c r="E681">
        <v>384.45</v>
      </c>
      <c r="F681">
        <f>IF(Tradebook_2023_2026[[#This Row],[Trade Type]]="buy",-(Tradebook_2023_2026[[#This Row],[Quantity]]*Tradebook_2023_2026[[#This Row],[Price]]),(Tradebook_2023_2026[[#This Row],[Quantity]]*Tradebook_2023_2026[[#This Row],[Price]]))</f>
        <v>-10764.6</v>
      </c>
    </row>
    <row r="682" spans="1:6">
      <c r="A682" t="s">
        <v>90</v>
      </c>
      <c r="B682" s="1">
        <v>45462</v>
      </c>
      <c r="C682" t="s">
        <v>8</v>
      </c>
      <c r="D682">
        <v>26</v>
      </c>
      <c r="E682">
        <v>384.45</v>
      </c>
      <c r="F682">
        <f>IF(Tradebook_2023_2026[[#This Row],[Trade Type]]="buy",-(Tradebook_2023_2026[[#This Row],[Quantity]]*Tradebook_2023_2026[[#This Row],[Price]]),(Tradebook_2023_2026[[#This Row],[Quantity]]*Tradebook_2023_2026[[#This Row],[Price]]))</f>
        <v>-9995.6999999999989</v>
      </c>
    </row>
    <row r="683" spans="1:6">
      <c r="A683" t="s">
        <v>90</v>
      </c>
      <c r="B683" s="1">
        <v>45462</v>
      </c>
      <c r="C683" t="s">
        <v>8</v>
      </c>
      <c r="D683">
        <v>20</v>
      </c>
      <c r="E683">
        <v>384.5</v>
      </c>
      <c r="F683">
        <f>IF(Tradebook_2023_2026[[#This Row],[Trade Type]]="buy",-(Tradebook_2023_2026[[#This Row],[Quantity]]*Tradebook_2023_2026[[#This Row],[Price]]),(Tradebook_2023_2026[[#This Row],[Quantity]]*Tradebook_2023_2026[[#This Row],[Price]]))</f>
        <v>-7690</v>
      </c>
    </row>
    <row r="684" spans="1:6">
      <c r="A684" t="s">
        <v>90</v>
      </c>
      <c r="B684" s="1">
        <v>45462</v>
      </c>
      <c r="C684" t="s">
        <v>8</v>
      </c>
      <c r="D684">
        <v>40</v>
      </c>
      <c r="E684">
        <v>384.5</v>
      </c>
      <c r="F684">
        <f>IF(Tradebook_2023_2026[[#This Row],[Trade Type]]="buy",-(Tradebook_2023_2026[[#This Row],[Quantity]]*Tradebook_2023_2026[[#This Row],[Price]]),(Tradebook_2023_2026[[#This Row],[Quantity]]*Tradebook_2023_2026[[#This Row],[Price]]))</f>
        <v>-15380</v>
      </c>
    </row>
    <row r="685" spans="1:6">
      <c r="A685" t="s">
        <v>90</v>
      </c>
      <c r="B685" s="1">
        <v>45462</v>
      </c>
      <c r="C685" t="s">
        <v>8</v>
      </c>
      <c r="D685">
        <v>30</v>
      </c>
      <c r="E685">
        <v>384.5</v>
      </c>
      <c r="F685">
        <f>IF(Tradebook_2023_2026[[#This Row],[Trade Type]]="buy",-(Tradebook_2023_2026[[#This Row],[Quantity]]*Tradebook_2023_2026[[#This Row],[Price]]),(Tradebook_2023_2026[[#This Row],[Quantity]]*Tradebook_2023_2026[[#This Row],[Price]]))</f>
        <v>-11535</v>
      </c>
    </row>
    <row r="686" spans="1:6">
      <c r="A686" t="s">
        <v>90</v>
      </c>
      <c r="B686" s="1">
        <v>45462</v>
      </c>
      <c r="C686" t="s">
        <v>8</v>
      </c>
      <c r="D686">
        <v>71</v>
      </c>
      <c r="E686">
        <v>384.55</v>
      </c>
      <c r="F686">
        <f>IF(Tradebook_2023_2026[[#This Row],[Trade Type]]="buy",-(Tradebook_2023_2026[[#This Row],[Quantity]]*Tradebook_2023_2026[[#This Row],[Price]]),(Tradebook_2023_2026[[#This Row],[Quantity]]*Tradebook_2023_2026[[#This Row],[Price]]))</f>
        <v>-27303.05</v>
      </c>
    </row>
    <row r="687" spans="1:6">
      <c r="A687" t="s">
        <v>14</v>
      </c>
      <c r="B687" s="1">
        <v>45474</v>
      </c>
      <c r="C687" t="s">
        <v>8</v>
      </c>
      <c r="D687">
        <v>3</v>
      </c>
      <c r="E687">
        <v>554.5</v>
      </c>
      <c r="F687">
        <f>IF(Tradebook_2023_2026[[#This Row],[Trade Type]]="buy",-(Tradebook_2023_2026[[#This Row],[Quantity]]*Tradebook_2023_2026[[#This Row],[Price]]),(Tradebook_2023_2026[[#This Row],[Quantity]]*Tradebook_2023_2026[[#This Row],[Price]]))</f>
        <v>-1663.5</v>
      </c>
    </row>
    <row r="688" spans="1:6">
      <c r="A688" t="s">
        <v>57</v>
      </c>
      <c r="B688" s="1">
        <v>45474</v>
      </c>
      <c r="C688" t="s">
        <v>8</v>
      </c>
      <c r="D688">
        <v>2</v>
      </c>
      <c r="E688">
        <v>827.65</v>
      </c>
      <c r="F688">
        <f>IF(Tradebook_2023_2026[[#This Row],[Trade Type]]="buy",-(Tradebook_2023_2026[[#This Row],[Quantity]]*Tradebook_2023_2026[[#This Row],[Price]]),(Tradebook_2023_2026[[#This Row],[Quantity]]*Tradebook_2023_2026[[#This Row],[Price]]))</f>
        <v>-1655.3</v>
      </c>
    </row>
    <row r="689" spans="1:6">
      <c r="A689" t="s">
        <v>57</v>
      </c>
      <c r="B689" s="1">
        <v>45474</v>
      </c>
      <c r="C689" t="s">
        <v>8</v>
      </c>
      <c r="D689">
        <v>14</v>
      </c>
      <c r="E689">
        <v>827.65</v>
      </c>
      <c r="F689">
        <f>IF(Tradebook_2023_2026[[#This Row],[Trade Type]]="buy",-(Tradebook_2023_2026[[#This Row],[Quantity]]*Tradebook_2023_2026[[#This Row],[Price]]),(Tradebook_2023_2026[[#This Row],[Quantity]]*Tradebook_2023_2026[[#This Row],[Price]]))</f>
        <v>-11587.1</v>
      </c>
    </row>
    <row r="690" spans="1:6">
      <c r="A690" t="s">
        <v>57</v>
      </c>
      <c r="B690" s="1">
        <v>45474</v>
      </c>
      <c r="C690" t="s">
        <v>8</v>
      </c>
      <c r="D690">
        <v>18</v>
      </c>
      <c r="E690">
        <v>827.7</v>
      </c>
      <c r="F690">
        <f>IF(Tradebook_2023_2026[[#This Row],[Trade Type]]="buy",-(Tradebook_2023_2026[[#This Row],[Quantity]]*Tradebook_2023_2026[[#This Row],[Price]]),(Tradebook_2023_2026[[#This Row],[Quantity]]*Tradebook_2023_2026[[#This Row],[Price]]))</f>
        <v>-14898.6</v>
      </c>
    </row>
    <row r="691" spans="1:6">
      <c r="A691" t="s">
        <v>57</v>
      </c>
      <c r="B691" s="1">
        <v>45474</v>
      </c>
      <c r="C691" t="s">
        <v>8</v>
      </c>
      <c r="D691">
        <v>48</v>
      </c>
      <c r="E691">
        <v>827.7</v>
      </c>
      <c r="F691">
        <f>IF(Tradebook_2023_2026[[#This Row],[Trade Type]]="buy",-(Tradebook_2023_2026[[#This Row],[Quantity]]*Tradebook_2023_2026[[#This Row],[Price]]),(Tradebook_2023_2026[[#This Row],[Quantity]]*Tradebook_2023_2026[[#This Row],[Price]]))</f>
        <v>-39729.600000000006</v>
      </c>
    </row>
    <row r="692" spans="1:6">
      <c r="A692" t="s">
        <v>57</v>
      </c>
      <c r="B692" s="1">
        <v>45474</v>
      </c>
      <c r="C692" t="s">
        <v>8</v>
      </c>
      <c r="D692">
        <v>13</v>
      </c>
      <c r="E692">
        <v>827.75</v>
      </c>
      <c r="F692">
        <f>IF(Tradebook_2023_2026[[#This Row],[Trade Type]]="buy",-(Tradebook_2023_2026[[#This Row],[Quantity]]*Tradebook_2023_2026[[#This Row],[Price]]),(Tradebook_2023_2026[[#This Row],[Quantity]]*Tradebook_2023_2026[[#This Row],[Price]]))</f>
        <v>-10760.75</v>
      </c>
    </row>
    <row r="693" spans="1:6">
      <c r="A693" t="s">
        <v>57</v>
      </c>
      <c r="B693" s="1">
        <v>45474</v>
      </c>
      <c r="C693" t="s">
        <v>8</v>
      </c>
      <c r="D693">
        <v>15</v>
      </c>
      <c r="E693">
        <v>828.2</v>
      </c>
      <c r="F693">
        <f>IF(Tradebook_2023_2026[[#This Row],[Trade Type]]="buy",-(Tradebook_2023_2026[[#This Row],[Quantity]]*Tradebook_2023_2026[[#This Row],[Price]]),(Tradebook_2023_2026[[#This Row],[Quantity]]*Tradebook_2023_2026[[#This Row],[Price]]))</f>
        <v>-12423</v>
      </c>
    </row>
    <row r="694" spans="1:6">
      <c r="A694" t="s">
        <v>57</v>
      </c>
      <c r="B694" s="1">
        <v>45474</v>
      </c>
      <c r="C694" t="s">
        <v>8</v>
      </c>
      <c r="D694">
        <v>7</v>
      </c>
      <c r="E694">
        <v>829</v>
      </c>
      <c r="F694">
        <f>IF(Tradebook_2023_2026[[#This Row],[Trade Type]]="buy",-(Tradebook_2023_2026[[#This Row],[Quantity]]*Tradebook_2023_2026[[#This Row],[Price]]),(Tradebook_2023_2026[[#This Row],[Quantity]]*Tradebook_2023_2026[[#This Row],[Price]]))</f>
        <v>-5803</v>
      </c>
    </row>
    <row r="695" spans="1:6">
      <c r="A695" t="s">
        <v>57</v>
      </c>
      <c r="B695" s="1">
        <v>45474</v>
      </c>
      <c r="C695" t="s">
        <v>8</v>
      </c>
      <c r="D695">
        <v>12</v>
      </c>
      <c r="E695">
        <v>829</v>
      </c>
      <c r="F695">
        <f>IF(Tradebook_2023_2026[[#This Row],[Trade Type]]="buy",-(Tradebook_2023_2026[[#This Row],[Quantity]]*Tradebook_2023_2026[[#This Row],[Price]]),(Tradebook_2023_2026[[#This Row],[Quantity]]*Tradebook_2023_2026[[#This Row],[Price]]))</f>
        <v>-9948</v>
      </c>
    </row>
    <row r="696" spans="1:6">
      <c r="A696" t="s">
        <v>57</v>
      </c>
      <c r="B696" s="1">
        <v>45474</v>
      </c>
      <c r="C696" t="s">
        <v>8</v>
      </c>
      <c r="D696">
        <v>120</v>
      </c>
      <c r="E696">
        <v>829</v>
      </c>
      <c r="F696">
        <f>IF(Tradebook_2023_2026[[#This Row],[Trade Type]]="buy",-(Tradebook_2023_2026[[#This Row],[Quantity]]*Tradebook_2023_2026[[#This Row],[Price]]),(Tradebook_2023_2026[[#This Row],[Quantity]]*Tradebook_2023_2026[[#This Row],[Price]]))</f>
        <v>-99480</v>
      </c>
    </row>
    <row r="697" spans="1:6">
      <c r="A697" t="s">
        <v>57</v>
      </c>
      <c r="B697" s="1">
        <v>45474</v>
      </c>
      <c r="C697" t="s">
        <v>8</v>
      </c>
      <c r="D697">
        <v>300</v>
      </c>
      <c r="E697">
        <v>829</v>
      </c>
      <c r="F697">
        <f>IF(Tradebook_2023_2026[[#This Row],[Trade Type]]="buy",-(Tradebook_2023_2026[[#This Row],[Quantity]]*Tradebook_2023_2026[[#This Row],[Price]]),(Tradebook_2023_2026[[#This Row],[Quantity]]*Tradebook_2023_2026[[#This Row],[Price]]))</f>
        <v>-248700</v>
      </c>
    </row>
    <row r="698" spans="1:6">
      <c r="A698" t="s">
        <v>57</v>
      </c>
      <c r="B698" s="1">
        <v>45474</v>
      </c>
      <c r="C698" t="s">
        <v>8</v>
      </c>
      <c r="D698">
        <v>4</v>
      </c>
      <c r="E698">
        <v>829</v>
      </c>
      <c r="F698">
        <f>IF(Tradebook_2023_2026[[#This Row],[Trade Type]]="buy",-(Tradebook_2023_2026[[#This Row],[Quantity]]*Tradebook_2023_2026[[#This Row],[Price]]),(Tradebook_2023_2026[[#This Row],[Quantity]]*Tradebook_2023_2026[[#This Row],[Price]]))</f>
        <v>-3316</v>
      </c>
    </row>
    <row r="699" spans="1:6">
      <c r="A699" t="s">
        <v>57</v>
      </c>
      <c r="B699" s="1">
        <v>45474</v>
      </c>
      <c r="C699" t="s">
        <v>8</v>
      </c>
      <c r="D699">
        <v>47</v>
      </c>
      <c r="E699">
        <v>829</v>
      </c>
      <c r="F699">
        <f>IF(Tradebook_2023_2026[[#This Row],[Trade Type]]="buy",-(Tradebook_2023_2026[[#This Row],[Quantity]]*Tradebook_2023_2026[[#This Row],[Price]]),(Tradebook_2023_2026[[#This Row],[Quantity]]*Tradebook_2023_2026[[#This Row],[Price]]))</f>
        <v>-38963</v>
      </c>
    </row>
    <row r="700" spans="1:6">
      <c r="A700" t="s">
        <v>46</v>
      </c>
      <c r="B700" s="1">
        <v>45477</v>
      </c>
      <c r="C700" t="s">
        <v>8</v>
      </c>
      <c r="D700">
        <v>3126</v>
      </c>
      <c r="E700">
        <v>23.91</v>
      </c>
      <c r="F700">
        <f>IF(Tradebook_2023_2026[[#This Row],[Trade Type]]="buy",-(Tradebook_2023_2026[[#This Row],[Quantity]]*Tradebook_2023_2026[[#This Row],[Price]]),(Tradebook_2023_2026[[#This Row],[Quantity]]*Tradebook_2023_2026[[#This Row],[Price]]))</f>
        <v>-74742.66</v>
      </c>
    </row>
    <row r="701" spans="1:6">
      <c r="A701" t="s">
        <v>46</v>
      </c>
      <c r="B701" s="1">
        <v>45477</v>
      </c>
      <c r="C701" t="s">
        <v>8</v>
      </c>
      <c r="D701">
        <v>5110</v>
      </c>
      <c r="E701">
        <v>23.91</v>
      </c>
      <c r="F701">
        <f>IF(Tradebook_2023_2026[[#This Row],[Trade Type]]="buy",-(Tradebook_2023_2026[[#This Row],[Quantity]]*Tradebook_2023_2026[[#This Row],[Price]]),(Tradebook_2023_2026[[#This Row],[Quantity]]*Tradebook_2023_2026[[#This Row],[Price]]))</f>
        <v>-122180.1</v>
      </c>
    </row>
    <row r="702" spans="1:6">
      <c r="A702" t="s">
        <v>46</v>
      </c>
      <c r="B702" s="1">
        <v>45477</v>
      </c>
      <c r="C702" t="s">
        <v>8</v>
      </c>
      <c r="D702">
        <v>2</v>
      </c>
      <c r="E702">
        <v>23.91</v>
      </c>
      <c r="F702">
        <f>IF(Tradebook_2023_2026[[#This Row],[Trade Type]]="buy",-(Tradebook_2023_2026[[#This Row],[Quantity]]*Tradebook_2023_2026[[#This Row],[Price]]),(Tradebook_2023_2026[[#This Row],[Quantity]]*Tradebook_2023_2026[[#This Row],[Price]]))</f>
        <v>-47.82</v>
      </c>
    </row>
    <row r="703" spans="1:6">
      <c r="A703" t="s">
        <v>46</v>
      </c>
      <c r="B703" s="1">
        <v>45477</v>
      </c>
      <c r="C703" t="s">
        <v>8</v>
      </c>
      <c r="D703">
        <v>3777</v>
      </c>
      <c r="E703">
        <v>23.91</v>
      </c>
      <c r="F703">
        <f>IF(Tradebook_2023_2026[[#This Row],[Trade Type]]="buy",-(Tradebook_2023_2026[[#This Row],[Quantity]]*Tradebook_2023_2026[[#This Row],[Price]]),(Tradebook_2023_2026[[#This Row],[Quantity]]*Tradebook_2023_2026[[#This Row],[Price]]))</f>
        <v>-90308.07</v>
      </c>
    </row>
    <row r="704" spans="1:6">
      <c r="A704" t="s">
        <v>46</v>
      </c>
      <c r="B704" s="1">
        <v>45477</v>
      </c>
      <c r="C704" t="s">
        <v>8</v>
      </c>
      <c r="D704">
        <v>6832</v>
      </c>
      <c r="E704">
        <v>23.91</v>
      </c>
      <c r="F704">
        <f>IF(Tradebook_2023_2026[[#This Row],[Trade Type]]="buy",-(Tradebook_2023_2026[[#This Row],[Quantity]]*Tradebook_2023_2026[[#This Row],[Price]]),(Tradebook_2023_2026[[#This Row],[Quantity]]*Tradebook_2023_2026[[#This Row],[Price]]))</f>
        <v>-163353.12</v>
      </c>
    </row>
    <row r="705" spans="1:6">
      <c r="A705" t="s">
        <v>46</v>
      </c>
      <c r="B705" s="1">
        <v>45477</v>
      </c>
      <c r="C705" t="s">
        <v>8</v>
      </c>
      <c r="D705">
        <v>807</v>
      </c>
      <c r="E705">
        <v>23.91</v>
      </c>
      <c r="F705">
        <f>IF(Tradebook_2023_2026[[#This Row],[Trade Type]]="buy",-(Tradebook_2023_2026[[#This Row],[Quantity]]*Tradebook_2023_2026[[#This Row],[Price]]),(Tradebook_2023_2026[[#This Row],[Quantity]]*Tradebook_2023_2026[[#This Row],[Price]]))</f>
        <v>-19295.37</v>
      </c>
    </row>
    <row r="706" spans="1:6">
      <c r="A706" t="s">
        <v>46</v>
      </c>
      <c r="B706" s="1">
        <v>45477</v>
      </c>
      <c r="C706" t="s">
        <v>8</v>
      </c>
      <c r="D706">
        <v>1746</v>
      </c>
      <c r="E706">
        <v>23.92</v>
      </c>
      <c r="F706">
        <f>IF(Tradebook_2023_2026[[#This Row],[Trade Type]]="buy",-(Tradebook_2023_2026[[#This Row],[Quantity]]*Tradebook_2023_2026[[#This Row],[Price]]),(Tradebook_2023_2026[[#This Row],[Quantity]]*Tradebook_2023_2026[[#This Row],[Price]]))</f>
        <v>-41764.32</v>
      </c>
    </row>
    <row r="707" spans="1:6">
      <c r="A707" t="s">
        <v>110</v>
      </c>
      <c r="B707" s="1">
        <v>45495</v>
      </c>
      <c r="C707" t="s">
        <v>8</v>
      </c>
      <c r="D707">
        <v>24</v>
      </c>
      <c r="E707">
        <v>6932</v>
      </c>
      <c r="F707">
        <f>IF(Tradebook_2023_2026[[#This Row],[Trade Type]]="buy",-(Tradebook_2023_2026[[#This Row],[Quantity]]*Tradebook_2023_2026[[#This Row],[Price]]),(Tradebook_2023_2026[[#This Row],[Quantity]]*Tradebook_2023_2026[[#This Row],[Price]]))</f>
        <v>-166368</v>
      </c>
    </row>
    <row r="708" spans="1:6">
      <c r="A708" t="s">
        <v>110</v>
      </c>
      <c r="B708" s="1">
        <v>45495</v>
      </c>
      <c r="C708" t="s">
        <v>8</v>
      </c>
      <c r="D708">
        <v>8</v>
      </c>
      <c r="E708">
        <v>6932</v>
      </c>
      <c r="F708">
        <f>IF(Tradebook_2023_2026[[#This Row],[Trade Type]]="buy",-(Tradebook_2023_2026[[#This Row],[Quantity]]*Tradebook_2023_2026[[#This Row],[Price]]),(Tradebook_2023_2026[[#This Row],[Quantity]]*Tradebook_2023_2026[[#This Row],[Price]]))</f>
        <v>-55456</v>
      </c>
    </row>
    <row r="709" spans="1:6">
      <c r="A709" t="s">
        <v>110</v>
      </c>
      <c r="B709" s="1">
        <v>45495</v>
      </c>
      <c r="C709" t="s">
        <v>8</v>
      </c>
      <c r="D709">
        <v>1</v>
      </c>
      <c r="E709">
        <v>6932</v>
      </c>
      <c r="F709">
        <f>IF(Tradebook_2023_2026[[#This Row],[Trade Type]]="buy",-(Tradebook_2023_2026[[#This Row],[Quantity]]*Tradebook_2023_2026[[#This Row],[Price]]),(Tradebook_2023_2026[[#This Row],[Quantity]]*Tradebook_2023_2026[[#This Row],[Price]]))</f>
        <v>-6932</v>
      </c>
    </row>
    <row r="710" spans="1:6">
      <c r="A710" t="s">
        <v>110</v>
      </c>
      <c r="B710" s="1">
        <v>45495</v>
      </c>
      <c r="C710" t="s">
        <v>8</v>
      </c>
      <c r="D710">
        <v>10</v>
      </c>
      <c r="E710">
        <v>6932</v>
      </c>
      <c r="F710">
        <f>IF(Tradebook_2023_2026[[#This Row],[Trade Type]]="buy",-(Tradebook_2023_2026[[#This Row],[Quantity]]*Tradebook_2023_2026[[#This Row],[Price]]),(Tradebook_2023_2026[[#This Row],[Quantity]]*Tradebook_2023_2026[[#This Row],[Price]]))</f>
        <v>-69320</v>
      </c>
    </row>
    <row r="711" spans="1:6">
      <c r="A711" t="s">
        <v>110</v>
      </c>
      <c r="B711" s="1">
        <v>45495</v>
      </c>
      <c r="C711" t="s">
        <v>8</v>
      </c>
      <c r="D711">
        <v>7</v>
      </c>
      <c r="E711">
        <v>6932</v>
      </c>
      <c r="F711">
        <f>IF(Tradebook_2023_2026[[#This Row],[Trade Type]]="buy",-(Tradebook_2023_2026[[#This Row],[Quantity]]*Tradebook_2023_2026[[#This Row],[Price]]),(Tradebook_2023_2026[[#This Row],[Quantity]]*Tradebook_2023_2026[[#This Row],[Price]]))</f>
        <v>-48524</v>
      </c>
    </row>
    <row r="712" spans="1:6">
      <c r="A712" t="s">
        <v>110</v>
      </c>
      <c r="B712" s="1">
        <v>45495</v>
      </c>
      <c r="C712" t="s">
        <v>8</v>
      </c>
      <c r="D712">
        <v>3</v>
      </c>
      <c r="E712">
        <v>6932</v>
      </c>
      <c r="F712">
        <f>IF(Tradebook_2023_2026[[#This Row],[Trade Type]]="buy",-(Tradebook_2023_2026[[#This Row],[Quantity]]*Tradebook_2023_2026[[#This Row],[Price]]),(Tradebook_2023_2026[[#This Row],[Quantity]]*Tradebook_2023_2026[[#This Row],[Price]]))</f>
        <v>-20796</v>
      </c>
    </row>
    <row r="713" spans="1:6">
      <c r="A713" t="s">
        <v>110</v>
      </c>
      <c r="B713" s="1">
        <v>45495</v>
      </c>
      <c r="C713" t="s">
        <v>8</v>
      </c>
      <c r="D713">
        <v>68</v>
      </c>
      <c r="E713">
        <v>6932</v>
      </c>
      <c r="F713">
        <f>IF(Tradebook_2023_2026[[#This Row],[Trade Type]]="buy",-(Tradebook_2023_2026[[#This Row],[Quantity]]*Tradebook_2023_2026[[#This Row],[Price]]),(Tradebook_2023_2026[[#This Row],[Quantity]]*Tradebook_2023_2026[[#This Row],[Price]]))</f>
        <v>-471376</v>
      </c>
    </row>
    <row r="714" spans="1:6">
      <c r="A714" t="s">
        <v>110</v>
      </c>
      <c r="B714" s="1">
        <v>45495</v>
      </c>
      <c r="C714" t="s">
        <v>8</v>
      </c>
      <c r="D714">
        <v>23</v>
      </c>
      <c r="E714">
        <v>6932</v>
      </c>
      <c r="F714">
        <f>IF(Tradebook_2023_2026[[#This Row],[Trade Type]]="buy",-(Tradebook_2023_2026[[#This Row],[Quantity]]*Tradebook_2023_2026[[#This Row],[Price]]),(Tradebook_2023_2026[[#This Row],[Quantity]]*Tradebook_2023_2026[[#This Row],[Price]]))</f>
        <v>-159436</v>
      </c>
    </row>
    <row r="715" spans="1:6">
      <c r="A715" t="s">
        <v>111</v>
      </c>
      <c r="B715" s="1">
        <v>45495</v>
      </c>
      <c r="C715" t="s">
        <v>8</v>
      </c>
      <c r="D715">
        <v>257</v>
      </c>
      <c r="E715">
        <v>316.75</v>
      </c>
      <c r="F715">
        <f>IF(Tradebook_2023_2026[[#This Row],[Trade Type]]="buy",-(Tradebook_2023_2026[[#This Row],[Quantity]]*Tradebook_2023_2026[[#This Row],[Price]]),(Tradebook_2023_2026[[#This Row],[Quantity]]*Tradebook_2023_2026[[#This Row],[Price]]))</f>
        <v>-81404.75</v>
      </c>
    </row>
    <row r="716" spans="1:6">
      <c r="A716" t="s">
        <v>111</v>
      </c>
      <c r="B716" s="1">
        <v>45495</v>
      </c>
      <c r="C716" t="s">
        <v>8</v>
      </c>
      <c r="D716">
        <v>20</v>
      </c>
      <c r="E716">
        <v>316.75</v>
      </c>
      <c r="F716">
        <f>IF(Tradebook_2023_2026[[#This Row],[Trade Type]]="buy",-(Tradebook_2023_2026[[#This Row],[Quantity]]*Tradebook_2023_2026[[#This Row],[Price]]),(Tradebook_2023_2026[[#This Row],[Quantity]]*Tradebook_2023_2026[[#This Row],[Price]]))</f>
        <v>-6335</v>
      </c>
    </row>
    <row r="717" spans="1:6">
      <c r="A717" t="s">
        <v>111</v>
      </c>
      <c r="B717" s="1">
        <v>45495</v>
      </c>
      <c r="C717" t="s">
        <v>8</v>
      </c>
      <c r="D717">
        <v>150</v>
      </c>
      <c r="E717">
        <v>316.75</v>
      </c>
      <c r="F717">
        <f>IF(Tradebook_2023_2026[[#This Row],[Trade Type]]="buy",-(Tradebook_2023_2026[[#This Row],[Quantity]]*Tradebook_2023_2026[[#This Row],[Price]]),(Tradebook_2023_2026[[#This Row],[Quantity]]*Tradebook_2023_2026[[#This Row],[Price]]))</f>
        <v>-47512.5</v>
      </c>
    </row>
    <row r="718" spans="1:6">
      <c r="A718" t="s">
        <v>111</v>
      </c>
      <c r="B718" s="1">
        <v>45495</v>
      </c>
      <c r="C718" t="s">
        <v>8</v>
      </c>
      <c r="D718">
        <v>10</v>
      </c>
      <c r="E718">
        <v>316.75</v>
      </c>
      <c r="F718">
        <f>IF(Tradebook_2023_2026[[#This Row],[Trade Type]]="buy",-(Tradebook_2023_2026[[#This Row],[Quantity]]*Tradebook_2023_2026[[#This Row],[Price]]),(Tradebook_2023_2026[[#This Row],[Quantity]]*Tradebook_2023_2026[[#This Row],[Price]]))</f>
        <v>-3167.5</v>
      </c>
    </row>
    <row r="719" spans="1:6">
      <c r="A719" t="s">
        <v>111</v>
      </c>
      <c r="B719" s="1">
        <v>45495</v>
      </c>
      <c r="C719" t="s">
        <v>8</v>
      </c>
      <c r="D719">
        <v>1</v>
      </c>
      <c r="E719">
        <v>316.75</v>
      </c>
      <c r="F719">
        <f>IF(Tradebook_2023_2026[[#This Row],[Trade Type]]="buy",-(Tradebook_2023_2026[[#This Row],[Quantity]]*Tradebook_2023_2026[[#This Row],[Price]]),(Tradebook_2023_2026[[#This Row],[Quantity]]*Tradebook_2023_2026[[#This Row],[Price]]))</f>
        <v>-316.75</v>
      </c>
    </row>
    <row r="720" spans="1:6">
      <c r="A720" t="s">
        <v>111</v>
      </c>
      <c r="B720" s="1">
        <v>45495</v>
      </c>
      <c r="C720" t="s">
        <v>8</v>
      </c>
      <c r="D720">
        <v>34</v>
      </c>
      <c r="E720">
        <v>316.75</v>
      </c>
      <c r="F720">
        <f>IF(Tradebook_2023_2026[[#This Row],[Trade Type]]="buy",-(Tradebook_2023_2026[[#This Row],[Quantity]]*Tradebook_2023_2026[[#This Row],[Price]]),(Tradebook_2023_2026[[#This Row],[Quantity]]*Tradebook_2023_2026[[#This Row],[Price]]))</f>
        <v>-10769.5</v>
      </c>
    </row>
    <row r="721" spans="1:6">
      <c r="A721" t="s">
        <v>111</v>
      </c>
      <c r="B721" s="1">
        <v>45495</v>
      </c>
      <c r="C721" t="s">
        <v>8</v>
      </c>
      <c r="D721">
        <v>34</v>
      </c>
      <c r="E721">
        <v>316.75</v>
      </c>
      <c r="F721">
        <f>IF(Tradebook_2023_2026[[#This Row],[Trade Type]]="buy",-(Tradebook_2023_2026[[#This Row],[Quantity]]*Tradebook_2023_2026[[#This Row],[Price]]),(Tradebook_2023_2026[[#This Row],[Quantity]]*Tradebook_2023_2026[[#This Row],[Price]]))</f>
        <v>-10769.5</v>
      </c>
    </row>
    <row r="722" spans="1:6">
      <c r="A722" t="s">
        <v>111</v>
      </c>
      <c r="B722" s="1">
        <v>45495</v>
      </c>
      <c r="C722" t="s">
        <v>8</v>
      </c>
      <c r="D722">
        <v>20</v>
      </c>
      <c r="E722">
        <v>316.75</v>
      </c>
      <c r="F722">
        <f>IF(Tradebook_2023_2026[[#This Row],[Trade Type]]="buy",-(Tradebook_2023_2026[[#This Row],[Quantity]]*Tradebook_2023_2026[[#This Row],[Price]]),(Tradebook_2023_2026[[#This Row],[Quantity]]*Tradebook_2023_2026[[#This Row],[Price]]))</f>
        <v>-6335</v>
      </c>
    </row>
    <row r="723" spans="1:6">
      <c r="A723" t="s">
        <v>111</v>
      </c>
      <c r="B723" s="1">
        <v>45495</v>
      </c>
      <c r="C723" t="s">
        <v>8</v>
      </c>
      <c r="D723">
        <v>7</v>
      </c>
      <c r="E723">
        <v>316.75</v>
      </c>
      <c r="F723">
        <f>IF(Tradebook_2023_2026[[#This Row],[Trade Type]]="buy",-(Tradebook_2023_2026[[#This Row],[Quantity]]*Tradebook_2023_2026[[#This Row],[Price]]),(Tradebook_2023_2026[[#This Row],[Quantity]]*Tradebook_2023_2026[[#This Row],[Price]]))</f>
        <v>-2217.25</v>
      </c>
    </row>
    <row r="724" spans="1:6">
      <c r="A724" t="s">
        <v>111</v>
      </c>
      <c r="B724" s="1">
        <v>45495</v>
      </c>
      <c r="C724" t="s">
        <v>8</v>
      </c>
      <c r="D724">
        <v>26</v>
      </c>
      <c r="E724">
        <v>316.75</v>
      </c>
      <c r="F724">
        <f>IF(Tradebook_2023_2026[[#This Row],[Trade Type]]="buy",-(Tradebook_2023_2026[[#This Row],[Quantity]]*Tradebook_2023_2026[[#This Row],[Price]]),(Tradebook_2023_2026[[#This Row],[Quantity]]*Tradebook_2023_2026[[#This Row],[Price]]))</f>
        <v>-8235.5</v>
      </c>
    </row>
    <row r="725" spans="1:6">
      <c r="A725" t="s">
        <v>111</v>
      </c>
      <c r="B725" s="1">
        <v>45495</v>
      </c>
      <c r="C725" t="s">
        <v>8</v>
      </c>
      <c r="D725">
        <v>64</v>
      </c>
      <c r="E725">
        <v>316.75</v>
      </c>
      <c r="F725">
        <f>IF(Tradebook_2023_2026[[#This Row],[Trade Type]]="buy",-(Tradebook_2023_2026[[#This Row],[Quantity]]*Tradebook_2023_2026[[#This Row],[Price]]),(Tradebook_2023_2026[[#This Row],[Quantity]]*Tradebook_2023_2026[[#This Row],[Price]]))</f>
        <v>-20272</v>
      </c>
    </row>
    <row r="726" spans="1:6">
      <c r="A726" t="s">
        <v>111</v>
      </c>
      <c r="B726" s="1">
        <v>45495</v>
      </c>
      <c r="C726" t="s">
        <v>8</v>
      </c>
      <c r="D726">
        <v>25</v>
      </c>
      <c r="E726">
        <v>316.75</v>
      </c>
      <c r="F726">
        <f>IF(Tradebook_2023_2026[[#This Row],[Trade Type]]="buy",-(Tradebook_2023_2026[[#This Row],[Quantity]]*Tradebook_2023_2026[[#This Row],[Price]]),(Tradebook_2023_2026[[#This Row],[Quantity]]*Tradebook_2023_2026[[#This Row],[Price]]))</f>
        <v>-7918.75</v>
      </c>
    </row>
    <row r="727" spans="1:6">
      <c r="A727" t="s">
        <v>111</v>
      </c>
      <c r="B727" s="1">
        <v>45495</v>
      </c>
      <c r="C727" t="s">
        <v>8</v>
      </c>
      <c r="D727">
        <v>50</v>
      </c>
      <c r="E727">
        <v>316.75</v>
      </c>
      <c r="F727">
        <f>IF(Tradebook_2023_2026[[#This Row],[Trade Type]]="buy",-(Tradebook_2023_2026[[#This Row],[Quantity]]*Tradebook_2023_2026[[#This Row],[Price]]),(Tradebook_2023_2026[[#This Row],[Quantity]]*Tradebook_2023_2026[[#This Row],[Price]]))</f>
        <v>-15837.5</v>
      </c>
    </row>
    <row r="728" spans="1:6">
      <c r="A728" t="s">
        <v>111</v>
      </c>
      <c r="B728" s="1">
        <v>45495</v>
      </c>
      <c r="C728" t="s">
        <v>8</v>
      </c>
      <c r="D728">
        <v>2</v>
      </c>
      <c r="E728">
        <v>316.75</v>
      </c>
      <c r="F728">
        <f>IF(Tradebook_2023_2026[[#This Row],[Trade Type]]="buy",-(Tradebook_2023_2026[[#This Row],[Quantity]]*Tradebook_2023_2026[[#This Row],[Price]]),(Tradebook_2023_2026[[#This Row],[Quantity]]*Tradebook_2023_2026[[#This Row],[Price]]))</f>
        <v>-633.5</v>
      </c>
    </row>
    <row r="729" spans="1:6">
      <c r="A729" t="s">
        <v>111</v>
      </c>
      <c r="B729" s="1">
        <v>45495</v>
      </c>
      <c r="C729" t="s">
        <v>8</v>
      </c>
      <c r="D729">
        <v>1000</v>
      </c>
      <c r="E729">
        <v>316.75</v>
      </c>
      <c r="F729">
        <f>IF(Tradebook_2023_2026[[#This Row],[Trade Type]]="buy",-(Tradebook_2023_2026[[#This Row],[Quantity]]*Tradebook_2023_2026[[#This Row],[Price]]),(Tradebook_2023_2026[[#This Row],[Quantity]]*Tradebook_2023_2026[[#This Row],[Price]]))</f>
        <v>-316750</v>
      </c>
    </row>
    <row r="730" spans="1:6">
      <c r="A730" t="s">
        <v>111</v>
      </c>
      <c r="B730" s="1">
        <v>45495</v>
      </c>
      <c r="C730" t="s">
        <v>8</v>
      </c>
      <c r="D730">
        <v>130</v>
      </c>
      <c r="E730">
        <v>316.75</v>
      </c>
      <c r="F730">
        <f>IF(Tradebook_2023_2026[[#This Row],[Trade Type]]="buy",-(Tradebook_2023_2026[[#This Row],[Quantity]]*Tradebook_2023_2026[[#This Row],[Price]]),(Tradebook_2023_2026[[#This Row],[Quantity]]*Tradebook_2023_2026[[#This Row],[Price]]))</f>
        <v>-41177.5</v>
      </c>
    </row>
    <row r="731" spans="1:6">
      <c r="A731" t="s">
        <v>111</v>
      </c>
      <c r="B731" s="1">
        <v>45495</v>
      </c>
      <c r="C731" t="s">
        <v>8</v>
      </c>
      <c r="D731">
        <v>100</v>
      </c>
      <c r="E731">
        <v>316.75</v>
      </c>
      <c r="F731">
        <f>IF(Tradebook_2023_2026[[#This Row],[Trade Type]]="buy",-(Tradebook_2023_2026[[#This Row],[Quantity]]*Tradebook_2023_2026[[#This Row],[Price]]),(Tradebook_2023_2026[[#This Row],[Quantity]]*Tradebook_2023_2026[[#This Row],[Price]]))</f>
        <v>-31675</v>
      </c>
    </row>
    <row r="732" spans="1:6">
      <c r="A732" t="s">
        <v>111</v>
      </c>
      <c r="B732" s="1">
        <v>45495</v>
      </c>
      <c r="C732" t="s">
        <v>8</v>
      </c>
      <c r="D732">
        <v>500</v>
      </c>
      <c r="E732">
        <v>316.75</v>
      </c>
      <c r="F732">
        <f>IF(Tradebook_2023_2026[[#This Row],[Trade Type]]="buy",-(Tradebook_2023_2026[[#This Row],[Quantity]]*Tradebook_2023_2026[[#This Row],[Price]]),(Tradebook_2023_2026[[#This Row],[Quantity]]*Tradebook_2023_2026[[#This Row],[Price]]))</f>
        <v>-158375</v>
      </c>
    </row>
    <row r="733" spans="1:6">
      <c r="A733" t="s">
        <v>111</v>
      </c>
      <c r="B733" s="1">
        <v>45495</v>
      </c>
      <c r="C733" t="s">
        <v>8</v>
      </c>
      <c r="D733">
        <v>5</v>
      </c>
      <c r="E733">
        <v>316.75</v>
      </c>
      <c r="F733">
        <f>IF(Tradebook_2023_2026[[#This Row],[Trade Type]]="buy",-(Tradebook_2023_2026[[#This Row],[Quantity]]*Tradebook_2023_2026[[#This Row],[Price]]),(Tradebook_2023_2026[[#This Row],[Quantity]]*Tradebook_2023_2026[[#This Row],[Price]]))</f>
        <v>-1583.75</v>
      </c>
    </row>
    <row r="734" spans="1:6">
      <c r="A734" t="s">
        <v>111</v>
      </c>
      <c r="B734" s="1">
        <v>45495</v>
      </c>
      <c r="C734" t="s">
        <v>8</v>
      </c>
      <c r="D734">
        <v>75</v>
      </c>
      <c r="E734">
        <v>316.75</v>
      </c>
      <c r="F734">
        <f>IF(Tradebook_2023_2026[[#This Row],[Trade Type]]="buy",-(Tradebook_2023_2026[[#This Row],[Quantity]]*Tradebook_2023_2026[[#This Row],[Price]]),(Tradebook_2023_2026[[#This Row],[Quantity]]*Tradebook_2023_2026[[#This Row],[Price]]))</f>
        <v>-23756.25</v>
      </c>
    </row>
    <row r="735" spans="1:6">
      <c r="A735" t="s">
        <v>111</v>
      </c>
      <c r="B735" s="1">
        <v>45495</v>
      </c>
      <c r="C735" t="s">
        <v>8</v>
      </c>
      <c r="D735">
        <v>3</v>
      </c>
      <c r="E735">
        <v>316.75</v>
      </c>
      <c r="F735">
        <f>IF(Tradebook_2023_2026[[#This Row],[Trade Type]]="buy",-(Tradebook_2023_2026[[#This Row],[Quantity]]*Tradebook_2023_2026[[#This Row],[Price]]),(Tradebook_2023_2026[[#This Row],[Quantity]]*Tradebook_2023_2026[[#This Row],[Price]]))</f>
        <v>-950.25</v>
      </c>
    </row>
    <row r="736" spans="1:6">
      <c r="A736" t="s">
        <v>111</v>
      </c>
      <c r="B736" s="1">
        <v>45495</v>
      </c>
      <c r="C736" t="s">
        <v>8</v>
      </c>
      <c r="D736">
        <v>66</v>
      </c>
      <c r="E736">
        <v>316.75</v>
      </c>
      <c r="F736">
        <f>IF(Tradebook_2023_2026[[#This Row],[Trade Type]]="buy",-(Tradebook_2023_2026[[#This Row],[Quantity]]*Tradebook_2023_2026[[#This Row],[Price]]),(Tradebook_2023_2026[[#This Row],[Quantity]]*Tradebook_2023_2026[[#This Row],[Price]]))</f>
        <v>-20905.5</v>
      </c>
    </row>
    <row r="737" spans="1:6">
      <c r="A737" t="s">
        <v>111</v>
      </c>
      <c r="B737" s="1">
        <v>45495</v>
      </c>
      <c r="C737" t="s">
        <v>8</v>
      </c>
      <c r="D737">
        <v>61</v>
      </c>
      <c r="E737">
        <v>316.75</v>
      </c>
      <c r="F737">
        <f>IF(Tradebook_2023_2026[[#This Row],[Trade Type]]="buy",-(Tradebook_2023_2026[[#This Row],[Quantity]]*Tradebook_2023_2026[[#This Row],[Price]]),(Tradebook_2023_2026[[#This Row],[Quantity]]*Tradebook_2023_2026[[#This Row],[Price]]))</f>
        <v>-19321.75</v>
      </c>
    </row>
    <row r="738" spans="1:6">
      <c r="A738" t="s">
        <v>111</v>
      </c>
      <c r="B738" s="1">
        <v>45495</v>
      </c>
      <c r="C738" t="s">
        <v>8</v>
      </c>
      <c r="D738">
        <v>60</v>
      </c>
      <c r="E738">
        <v>316.75</v>
      </c>
      <c r="F738">
        <f>IF(Tradebook_2023_2026[[#This Row],[Trade Type]]="buy",-(Tradebook_2023_2026[[#This Row],[Quantity]]*Tradebook_2023_2026[[#This Row],[Price]]),(Tradebook_2023_2026[[#This Row],[Quantity]]*Tradebook_2023_2026[[#This Row],[Price]]))</f>
        <v>-19005</v>
      </c>
    </row>
    <row r="739" spans="1:6">
      <c r="A739" t="s">
        <v>111</v>
      </c>
      <c r="B739" s="1">
        <v>45495</v>
      </c>
      <c r="C739" t="s">
        <v>8</v>
      </c>
      <c r="D739">
        <v>300</v>
      </c>
      <c r="E739">
        <v>316.75</v>
      </c>
      <c r="F739">
        <f>IF(Tradebook_2023_2026[[#This Row],[Trade Type]]="buy",-(Tradebook_2023_2026[[#This Row],[Quantity]]*Tradebook_2023_2026[[#This Row],[Price]]),(Tradebook_2023_2026[[#This Row],[Quantity]]*Tradebook_2023_2026[[#This Row],[Price]]))</f>
        <v>-95025</v>
      </c>
    </row>
    <row r="740" spans="1:6">
      <c r="A740" t="s">
        <v>90</v>
      </c>
      <c r="B740" s="1">
        <v>45495</v>
      </c>
      <c r="C740" t="s">
        <v>8</v>
      </c>
      <c r="D740">
        <v>374</v>
      </c>
      <c r="E740">
        <v>384</v>
      </c>
      <c r="F740">
        <f>IF(Tradebook_2023_2026[[#This Row],[Trade Type]]="buy",-(Tradebook_2023_2026[[#This Row],[Quantity]]*Tradebook_2023_2026[[#This Row],[Price]]),(Tradebook_2023_2026[[#This Row],[Quantity]]*Tradebook_2023_2026[[#This Row],[Price]]))</f>
        <v>-143616</v>
      </c>
    </row>
    <row r="741" spans="1:6">
      <c r="A741" t="s">
        <v>90</v>
      </c>
      <c r="B741" s="1">
        <v>45495</v>
      </c>
      <c r="C741" t="s">
        <v>8</v>
      </c>
      <c r="D741">
        <v>24</v>
      </c>
      <c r="E741">
        <v>384</v>
      </c>
      <c r="F741">
        <f>IF(Tradebook_2023_2026[[#This Row],[Trade Type]]="buy",-(Tradebook_2023_2026[[#This Row],[Quantity]]*Tradebook_2023_2026[[#This Row],[Price]]),(Tradebook_2023_2026[[#This Row],[Quantity]]*Tradebook_2023_2026[[#This Row],[Price]]))</f>
        <v>-9216</v>
      </c>
    </row>
    <row r="742" spans="1:6">
      <c r="A742" t="s">
        <v>90</v>
      </c>
      <c r="B742" s="1">
        <v>45495</v>
      </c>
      <c r="C742" t="s">
        <v>8</v>
      </c>
      <c r="D742">
        <v>90</v>
      </c>
      <c r="E742">
        <v>384</v>
      </c>
      <c r="F742">
        <f>IF(Tradebook_2023_2026[[#This Row],[Trade Type]]="buy",-(Tradebook_2023_2026[[#This Row],[Quantity]]*Tradebook_2023_2026[[#This Row],[Price]]),(Tradebook_2023_2026[[#This Row],[Quantity]]*Tradebook_2023_2026[[#This Row],[Price]]))</f>
        <v>-34560</v>
      </c>
    </row>
    <row r="743" spans="1:6">
      <c r="A743" t="s">
        <v>90</v>
      </c>
      <c r="B743" s="1">
        <v>45495</v>
      </c>
      <c r="C743" t="s">
        <v>8</v>
      </c>
      <c r="D743">
        <v>90</v>
      </c>
      <c r="E743">
        <v>384</v>
      </c>
      <c r="F743">
        <f>IF(Tradebook_2023_2026[[#This Row],[Trade Type]]="buy",-(Tradebook_2023_2026[[#This Row],[Quantity]]*Tradebook_2023_2026[[#This Row],[Price]]),(Tradebook_2023_2026[[#This Row],[Quantity]]*Tradebook_2023_2026[[#This Row],[Price]]))</f>
        <v>-34560</v>
      </c>
    </row>
    <row r="744" spans="1:6">
      <c r="A744" t="s">
        <v>90</v>
      </c>
      <c r="B744" s="1">
        <v>45495</v>
      </c>
      <c r="C744" t="s">
        <v>8</v>
      </c>
      <c r="D744">
        <v>60</v>
      </c>
      <c r="E744">
        <v>384</v>
      </c>
      <c r="F744">
        <f>IF(Tradebook_2023_2026[[#This Row],[Trade Type]]="buy",-(Tradebook_2023_2026[[#This Row],[Quantity]]*Tradebook_2023_2026[[#This Row],[Price]]),(Tradebook_2023_2026[[#This Row],[Quantity]]*Tradebook_2023_2026[[#This Row],[Price]]))</f>
        <v>-23040</v>
      </c>
    </row>
    <row r="745" spans="1:6">
      <c r="A745" t="s">
        <v>90</v>
      </c>
      <c r="B745" s="1">
        <v>45495</v>
      </c>
      <c r="C745" t="s">
        <v>8</v>
      </c>
      <c r="D745">
        <v>60</v>
      </c>
      <c r="E745">
        <v>384</v>
      </c>
      <c r="F745">
        <f>IF(Tradebook_2023_2026[[#This Row],[Trade Type]]="buy",-(Tradebook_2023_2026[[#This Row],[Quantity]]*Tradebook_2023_2026[[#This Row],[Price]]),(Tradebook_2023_2026[[#This Row],[Quantity]]*Tradebook_2023_2026[[#This Row],[Price]]))</f>
        <v>-23040</v>
      </c>
    </row>
    <row r="746" spans="1:6">
      <c r="A746" t="s">
        <v>90</v>
      </c>
      <c r="B746" s="1">
        <v>45495</v>
      </c>
      <c r="C746" t="s">
        <v>8</v>
      </c>
      <c r="D746">
        <v>30</v>
      </c>
      <c r="E746">
        <v>384</v>
      </c>
      <c r="F746">
        <f>IF(Tradebook_2023_2026[[#This Row],[Trade Type]]="buy",-(Tradebook_2023_2026[[#This Row],[Quantity]]*Tradebook_2023_2026[[#This Row],[Price]]),(Tradebook_2023_2026[[#This Row],[Quantity]]*Tradebook_2023_2026[[#This Row],[Price]]))</f>
        <v>-11520</v>
      </c>
    </row>
    <row r="747" spans="1:6">
      <c r="A747" t="s">
        <v>90</v>
      </c>
      <c r="B747" s="1">
        <v>45495</v>
      </c>
      <c r="C747" t="s">
        <v>8</v>
      </c>
      <c r="D747">
        <v>56</v>
      </c>
      <c r="E747">
        <v>384</v>
      </c>
      <c r="F747">
        <f>IF(Tradebook_2023_2026[[#This Row],[Trade Type]]="buy",-(Tradebook_2023_2026[[#This Row],[Quantity]]*Tradebook_2023_2026[[#This Row],[Price]]),(Tradebook_2023_2026[[#This Row],[Quantity]]*Tradebook_2023_2026[[#This Row],[Price]]))</f>
        <v>-21504</v>
      </c>
    </row>
    <row r="748" spans="1:6">
      <c r="A748" t="s">
        <v>90</v>
      </c>
      <c r="B748" s="1">
        <v>45495</v>
      </c>
      <c r="C748" t="s">
        <v>8</v>
      </c>
      <c r="D748">
        <v>200</v>
      </c>
      <c r="E748">
        <v>384</v>
      </c>
      <c r="F748">
        <f>IF(Tradebook_2023_2026[[#This Row],[Trade Type]]="buy",-(Tradebook_2023_2026[[#This Row],[Quantity]]*Tradebook_2023_2026[[#This Row],[Price]]),(Tradebook_2023_2026[[#This Row],[Quantity]]*Tradebook_2023_2026[[#This Row],[Price]]))</f>
        <v>-76800</v>
      </c>
    </row>
    <row r="749" spans="1:6">
      <c r="A749" t="s">
        <v>90</v>
      </c>
      <c r="B749" s="1">
        <v>45495</v>
      </c>
      <c r="C749" t="s">
        <v>8</v>
      </c>
      <c r="D749">
        <v>100</v>
      </c>
      <c r="E749">
        <v>384</v>
      </c>
      <c r="F749">
        <f>IF(Tradebook_2023_2026[[#This Row],[Trade Type]]="buy",-(Tradebook_2023_2026[[#This Row],[Quantity]]*Tradebook_2023_2026[[#This Row],[Price]]),(Tradebook_2023_2026[[#This Row],[Quantity]]*Tradebook_2023_2026[[#This Row],[Price]]))</f>
        <v>-38400</v>
      </c>
    </row>
    <row r="750" spans="1:6">
      <c r="A750" t="s">
        <v>90</v>
      </c>
      <c r="B750" s="1">
        <v>45495</v>
      </c>
      <c r="C750" t="s">
        <v>8</v>
      </c>
      <c r="D750">
        <v>102</v>
      </c>
      <c r="E750">
        <v>384</v>
      </c>
      <c r="F750">
        <f>IF(Tradebook_2023_2026[[#This Row],[Trade Type]]="buy",-(Tradebook_2023_2026[[#This Row],[Quantity]]*Tradebook_2023_2026[[#This Row],[Price]]),(Tradebook_2023_2026[[#This Row],[Quantity]]*Tradebook_2023_2026[[#This Row],[Price]]))</f>
        <v>-39168</v>
      </c>
    </row>
    <row r="751" spans="1:6">
      <c r="A751" t="s">
        <v>90</v>
      </c>
      <c r="B751" s="1">
        <v>45495</v>
      </c>
      <c r="C751" t="s">
        <v>8</v>
      </c>
      <c r="D751">
        <v>116</v>
      </c>
      <c r="E751">
        <v>384</v>
      </c>
      <c r="F751">
        <f>IF(Tradebook_2023_2026[[#This Row],[Trade Type]]="buy",-(Tradebook_2023_2026[[#This Row],[Quantity]]*Tradebook_2023_2026[[#This Row],[Price]]),(Tradebook_2023_2026[[#This Row],[Quantity]]*Tradebook_2023_2026[[#This Row],[Price]]))</f>
        <v>-44544</v>
      </c>
    </row>
    <row r="752" spans="1:6">
      <c r="A752" t="s">
        <v>51</v>
      </c>
      <c r="B752" s="1">
        <v>45495</v>
      </c>
      <c r="C752" t="s">
        <v>8</v>
      </c>
      <c r="D752">
        <v>195</v>
      </c>
      <c r="E752">
        <v>1036.3</v>
      </c>
      <c r="F752">
        <f>IF(Tradebook_2023_2026[[#This Row],[Trade Type]]="buy",-(Tradebook_2023_2026[[#This Row],[Quantity]]*Tradebook_2023_2026[[#This Row],[Price]]),(Tradebook_2023_2026[[#This Row],[Quantity]]*Tradebook_2023_2026[[#This Row],[Price]]))</f>
        <v>-202078.5</v>
      </c>
    </row>
    <row r="753" spans="1:6">
      <c r="A753" t="s">
        <v>51</v>
      </c>
      <c r="B753" s="1">
        <v>45495</v>
      </c>
      <c r="C753" t="s">
        <v>8</v>
      </c>
      <c r="D753">
        <v>30</v>
      </c>
      <c r="E753">
        <v>1036.3</v>
      </c>
      <c r="F753">
        <f>IF(Tradebook_2023_2026[[#This Row],[Trade Type]]="buy",-(Tradebook_2023_2026[[#This Row],[Quantity]]*Tradebook_2023_2026[[#This Row],[Price]]),(Tradebook_2023_2026[[#This Row],[Quantity]]*Tradebook_2023_2026[[#This Row],[Price]]))</f>
        <v>-31089</v>
      </c>
    </row>
    <row r="754" spans="1:6">
      <c r="A754" t="s">
        <v>51</v>
      </c>
      <c r="B754" s="1">
        <v>45495</v>
      </c>
      <c r="C754" t="s">
        <v>8</v>
      </c>
      <c r="D754">
        <v>24</v>
      </c>
      <c r="E754">
        <v>1036.3</v>
      </c>
      <c r="F754">
        <f>IF(Tradebook_2023_2026[[#This Row],[Trade Type]]="buy",-(Tradebook_2023_2026[[#This Row],[Quantity]]*Tradebook_2023_2026[[#This Row],[Price]]),(Tradebook_2023_2026[[#This Row],[Quantity]]*Tradebook_2023_2026[[#This Row],[Price]]))</f>
        <v>-24871.199999999997</v>
      </c>
    </row>
    <row r="755" spans="1:6">
      <c r="A755" t="s">
        <v>51</v>
      </c>
      <c r="B755" s="1">
        <v>45495</v>
      </c>
      <c r="C755" t="s">
        <v>8</v>
      </c>
      <c r="D755">
        <v>1</v>
      </c>
      <c r="E755">
        <v>1036.3</v>
      </c>
      <c r="F755">
        <f>IF(Tradebook_2023_2026[[#This Row],[Trade Type]]="buy",-(Tradebook_2023_2026[[#This Row],[Quantity]]*Tradebook_2023_2026[[#This Row],[Price]]),(Tradebook_2023_2026[[#This Row],[Quantity]]*Tradebook_2023_2026[[#This Row],[Price]]))</f>
        <v>-1036.3</v>
      </c>
    </row>
    <row r="756" spans="1:6">
      <c r="A756" t="s">
        <v>51</v>
      </c>
      <c r="B756" s="1">
        <v>45495</v>
      </c>
      <c r="C756" t="s">
        <v>8</v>
      </c>
      <c r="D756">
        <v>8</v>
      </c>
      <c r="E756">
        <v>1036.3</v>
      </c>
      <c r="F756">
        <f>IF(Tradebook_2023_2026[[#This Row],[Trade Type]]="buy",-(Tradebook_2023_2026[[#This Row],[Quantity]]*Tradebook_2023_2026[[#This Row],[Price]]),(Tradebook_2023_2026[[#This Row],[Quantity]]*Tradebook_2023_2026[[#This Row],[Price]]))</f>
        <v>-8290.4</v>
      </c>
    </row>
    <row r="757" spans="1:6">
      <c r="A757" t="s">
        <v>45</v>
      </c>
      <c r="B757" s="1">
        <v>45495</v>
      </c>
      <c r="C757" t="s">
        <v>8</v>
      </c>
      <c r="D757">
        <v>50</v>
      </c>
      <c r="E757">
        <v>1822</v>
      </c>
      <c r="F757">
        <f>IF(Tradebook_2023_2026[[#This Row],[Trade Type]]="buy",-(Tradebook_2023_2026[[#This Row],[Quantity]]*Tradebook_2023_2026[[#This Row],[Price]]),(Tradebook_2023_2026[[#This Row],[Quantity]]*Tradebook_2023_2026[[#This Row],[Price]]))</f>
        <v>-91100</v>
      </c>
    </row>
    <row r="758" spans="1:6">
      <c r="A758" t="s">
        <v>112</v>
      </c>
      <c r="B758" s="1">
        <v>45495</v>
      </c>
      <c r="C758" t="s">
        <v>8</v>
      </c>
      <c r="D758">
        <v>75</v>
      </c>
      <c r="E758">
        <v>1641.1</v>
      </c>
      <c r="F758">
        <f>IF(Tradebook_2023_2026[[#This Row],[Trade Type]]="buy",-(Tradebook_2023_2026[[#This Row],[Quantity]]*Tradebook_2023_2026[[#This Row],[Price]]),(Tradebook_2023_2026[[#This Row],[Quantity]]*Tradebook_2023_2026[[#This Row],[Price]]))</f>
        <v>-123082.5</v>
      </c>
    </row>
    <row r="759" spans="1:6">
      <c r="A759" t="s">
        <v>112</v>
      </c>
      <c r="B759" s="1">
        <v>45495</v>
      </c>
      <c r="C759" t="s">
        <v>8</v>
      </c>
      <c r="D759">
        <v>6</v>
      </c>
      <c r="E759">
        <v>1641.1</v>
      </c>
      <c r="F759">
        <f>IF(Tradebook_2023_2026[[#This Row],[Trade Type]]="buy",-(Tradebook_2023_2026[[#This Row],[Quantity]]*Tradebook_2023_2026[[#This Row],[Price]]),(Tradebook_2023_2026[[#This Row],[Quantity]]*Tradebook_2023_2026[[#This Row],[Price]]))</f>
        <v>-9846.5999999999985</v>
      </c>
    </row>
    <row r="760" spans="1:6">
      <c r="A760" t="s">
        <v>112</v>
      </c>
      <c r="B760" s="1">
        <v>45495</v>
      </c>
      <c r="C760" t="s">
        <v>8</v>
      </c>
      <c r="D760">
        <v>54</v>
      </c>
      <c r="E760">
        <v>1641.1</v>
      </c>
      <c r="F760">
        <f>IF(Tradebook_2023_2026[[#This Row],[Trade Type]]="buy",-(Tradebook_2023_2026[[#This Row],[Quantity]]*Tradebook_2023_2026[[#This Row],[Price]]),(Tradebook_2023_2026[[#This Row],[Quantity]]*Tradebook_2023_2026[[#This Row],[Price]]))</f>
        <v>-88619.4</v>
      </c>
    </row>
    <row r="761" spans="1:6">
      <c r="A761" t="s">
        <v>112</v>
      </c>
      <c r="B761" s="1">
        <v>45495</v>
      </c>
      <c r="C761" t="s">
        <v>8</v>
      </c>
      <c r="D761">
        <v>1</v>
      </c>
      <c r="E761">
        <v>1641.1</v>
      </c>
      <c r="F761">
        <f>IF(Tradebook_2023_2026[[#This Row],[Trade Type]]="buy",-(Tradebook_2023_2026[[#This Row],[Quantity]]*Tradebook_2023_2026[[#This Row],[Price]]),(Tradebook_2023_2026[[#This Row],[Quantity]]*Tradebook_2023_2026[[#This Row],[Price]]))</f>
        <v>-1641.1</v>
      </c>
    </row>
    <row r="762" spans="1:6">
      <c r="A762" t="s">
        <v>112</v>
      </c>
      <c r="B762" s="1">
        <v>45495</v>
      </c>
      <c r="C762" t="s">
        <v>8</v>
      </c>
      <c r="D762">
        <v>2</v>
      </c>
      <c r="E762">
        <v>1641.1</v>
      </c>
      <c r="F762">
        <f>IF(Tradebook_2023_2026[[#This Row],[Trade Type]]="buy",-(Tradebook_2023_2026[[#This Row],[Quantity]]*Tradebook_2023_2026[[#This Row],[Price]]),(Tradebook_2023_2026[[#This Row],[Quantity]]*Tradebook_2023_2026[[#This Row],[Price]]))</f>
        <v>-3282.2</v>
      </c>
    </row>
    <row r="763" spans="1:6">
      <c r="A763" t="s">
        <v>112</v>
      </c>
      <c r="B763" s="1">
        <v>45495</v>
      </c>
      <c r="C763" t="s">
        <v>8</v>
      </c>
      <c r="D763">
        <v>2</v>
      </c>
      <c r="E763">
        <v>1641.1</v>
      </c>
      <c r="F763">
        <f>IF(Tradebook_2023_2026[[#This Row],[Trade Type]]="buy",-(Tradebook_2023_2026[[#This Row],[Quantity]]*Tradebook_2023_2026[[#This Row],[Price]]),(Tradebook_2023_2026[[#This Row],[Quantity]]*Tradebook_2023_2026[[#This Row],[Price]]))</f>
        <v>-3282.2</v>
      </c>
    </row>
    <row r="764" spans="1:6">
      <c r="A764" t="s">
        <v>112</v>
      </c>
      <c r="B764" s="1">
        <v>45495</v>
      </c>
      <c r="C764" t="s">
        <v>8</v>
      </c>
      <c r="D764">
        <v>1</v>
      </c>
      <c r="E764">
        <v>1641.1</v>
      </c>
      <c r="F764">
        <f>IF(Tradebook_2023_2026[[#This Row],[Trade Type]]="buy",-(Tradebook_2023_2026[[#This Row],[Quantity]]*Tradebook_2023_2026[[#This Row],[Price]]),(Tradebook_2023_2026[[#This Row],[Quantity]]*Tradebook_2023_2026[[#This Row],[Price]]))</f>
        <v>-1641.1</v>
      </c>
    </row>
    <row r="765" spans="1:6">
      <c r="A765" t="s">
        <v>112</v>
      </c>
      <c r="B765" s="1">
        <v>45495</v>
      </c>
      <c r="C765" t="s">
        <v>8</v>
      </c>
      <c r="D765">
        <v>2</v>
      </c>
      <c r="E765">
        <v>1641.1</v>
      </c>
      <c r="F765">
        <f>IF(Tradebook_2023_2026[[#This Row],[Trade Type]]="buy",-(Tradebook_2023_2026[[#This Row],[Quantity]]*Tradebook_2023_2026[[#This Row],[Price]]),(Tradebook_2023_2026[[#This Row],[Quantity]]*Tradebook_2023_2026[[#This Row],[Price]]))</f>
        <v>-3282.2</v>
      </c>
    </row>
    <row r="766" spans="1:6">
      <c r="A766" t="s">
        <v>112</v>
      </c>
      <c r="B766" s="1">
        <v>45495</v>
      </c>
      <c r="C766" t="s">
        <v>8</v>
      </c>
      <c r="D766">
        <v>26</v>
      </c>
      <c r="E766">
        <v>1641.1</v>
      </c>
      <c r="F766">
        <f>IF(Tradebook_2023_2026[[#This Row],[Trade Type]]="buy",-(Tradebook_2023_2026[[#This Row],[Quantity]]*Tradebook_2023_2026[[#This Row],[Price]]),(Tradebook_2023_2026[[#This Row],[Quantity]]*Tradebook_2023_2026[[#This Row],[Price]]))</f>
        <v>-42668.6</v>
      </c>
    </row>
    <row r="767" spans="1:6">
      <c r="A767" t="s">
        <v>112</v>
      </c>
      <c r="B767" s="1">
        <v>45495</v>
      </c>
      <c r="C767" t="s">
        <v>8</v>
      </c>
      <c r="D767">
        <v>73</v>
      </c>
      <c r="E767">
        <v>1641.1</v>
      </c>
      <c r="F767">
        <f>IF(Tradebook_2023_2026[[#This Row],[Trade Type]]="buy",-(Tradebook_2023_2026[[#This Row],[Quantity]]*Tradebook_2023_2026[[#This Row],[Price]]),(Tradebook_2023_2026[[#This Row],[Quantity]]*Tradebook_2023_2026[[#This Row],[Price]]))</f>
        <v>-119800.29999999999</v>
      </c>
    </row>
    <row r="768" spans="1:6">
      <c r="A768" t="s">
        <v>112</v>
      </c>
      <c r="B768" s="1">
        <v>45495</v>
      </c>
      <c r="C768" t="s">
        <v>8</v>
      </c>
      <c r="D768">
        <v>7</v>
      </c>
      <c r="E768">
        <v>1641.1</v>
      </c>
      <c r="F768">
        <f>IF(Tradebook_2023_2026[[#This Row],[Trade Type]]="buy",-(Tradebook_2023_2026[[#This Row],[Quantity]]*Tradebook_2023_2026[[#This Row],[Price]]),(Tradebook_2023_2026[[#This Row],[Quantity]]*Tradebook_2023_2026[[#This Row],[Price]]))</f>
        <v>-11487.699999999999</v>
      </c>
    </row>
    <row r="769" spans="1:6">
      <c r="A769" t="s">
        <v>51</v>
      </c>
      <c r="B769" s="1">
        <v>45495</v>
      </c>
      <c r="C769" t="s">
        <v>8</v>
      </c>
      <c r="D769">
        <v>6</v>
      </c>
      <c r="E769">
        <v>1036.3</v>
      </c>
      <c r="F769">
        <f>IF(Tradebook_2023_2026[[#This Row],[Trade Type]]="buy",-(Tradebook_2023_2026[[#This Row],[Quantity]]*Tradebook_2023_2026[[#This Row],[Price]]),(Tradebook_2023_2026[[#This Row],[Quantity]]*Tradebook_2023_2026[[#This Row],[Price]]))</f>
        <v>-6217.7999999999993</v>
      </c>
    </row>
    <row r="770" spans="1:6">
      <c r="A770" t="s">
        <v>112</v>
      </c>
      <c r="B770" s="1">
        <v>45495</v>
      </c>
      <c r="C770" t="s">
        <v>8</v>
      </c>
      <c r="D770">
        <v>54</v>
      </c>
      <c r="E770">
        <v>1641.1</v>
      </c>
      <c r="F770">
        <f>IF(Tradebook_2023_2026[[#This Row],[Trade Type]]="buy",-(Tradebook_2023_2026[[#This Row],[Quantity]]*Tradebook_2023_2026[[#This Row],[Price]]),(Tradebook_2023_2026[[#This Row],[Quantity]]*Tradebook_2023_2026[[#This Row],[Price]]))</f>
        <v>-88619.4</v>
      </c>
    </row>
    <row r="771" spans="1:6">
      <c r="A771" t="s">
        <v>51</v>
      </c>
      <c r="B771" s="1">
        <v>45495</v>
      </c>
      <c r="C771" t="s">
        <v>8</v>
      </c>
      <c r="D771">
        <v>84</v>
      </c>
      <c r="E771">
        <v>1036.3</v>
      </c>
      <c r="F771">
        <f>IF(Tradebook_2023_2026[[#This Row],[Trade Type]]="buy",-(Tradebook_2023_2026[[#This Row],[Quantity]]*Tradebook_2023_2026[[#This Row],[Price]]),(Tradebook_2023_2026[[#This Row],[Quantity]]*Tradebook_2023_2026[[#This Row],[Price]]))</f>
        <v>-87049.2</v>
      </c>
    </row>
    <row r="772" spans="1:6">
      <c r="A772" t="s">
        <v>51</v>
      </c>
      <c r="B772" s="1">
        <v>45495</v>
      </c>
      <c r="C772" t="s">
        <v>8</v>
      </c>
      <c r="D772">
        <v>15</v>
      </c>
      <c r="E772">
        <v>1036.3</v>
      </c>
      <c r="F772">
        <f>IF(Tradebook_2023_2026[[#This Row],[Trade Type]]="buy",-(Tradebook_2023_2026[[#This Row],[Quantity]]*Tradebook_2023_2026[[#This Row],[Price]]),(Tradebook_2023_2026[[#This Row],[Quantity]]*Tradebook_2023_2026[[#This Row],[Price]]))</f>
        <v>-15544.5</v>
      </c>
    </row>
    <row r="773" spans="1:6">
      <c r="A773" t="s">
        <v>51</v>
      </c>
      <c r="B773" s="1">
        <v>45495</v>
      </c>
      <c r="C773" t="s">
        <v>8</v>
      </c>
      <c r="D773">
        <v>91</v>
      </c>
      <c r="E773">
        <v>1036.3</v>
      </c>
      <c r="F773">
        <f>IF(Tradebook_2023_2026[[#This Row],[Trade Type]]="buy",-(Tradebook_2023_2026[[#This Row],[Quantity]]*Tradebook_2023_2026[[#This Row],[Price]]),(Tradebook_2023_2026[[#This Row],[Quantity]]*Tradebook_2023_2026[[#This Row],[Price]]))</f>
        <v>-94303.3</v>
      </c>
    </row>
    <row r="774" spans="1:6">
      <c r="A774" t="s">
        <v>51</v>
      </c>
      <c r="B774" s="1">
        <v>45495</v>
      </c>
      <c r="C774" t="s">
        <v>8</v>
      </c>
      <c r="D774">
        <v>2</v>
      </c>
      <c r="E774">
        <v>1036.3</v>
      </c>
      <c r="F774">
        <f>IF(Tradebook_2023_2026[[#This Row],[Trade Type]]="buy",-(Tradebook_2023_2026[[#This Row],[Quantity]]*Tradebook_2023_2026[[#This Row],[Price]]),(Tradebook_2023_2026[[#This Row],[Quantity]]*Tradebook_2023_2026[[#This Row],[Price]]))</f>
        <v>-2072.6</v>
      </c>
    </row>
    <row r="775" spans="1:6">
      <c r="A775" t="s">
        <v>54</v>
      </c>
      <c r="B775" s="1">
        <v>45602</v>
      </c>
      <c r="C775" t="s">
        <v>8</v>
      </c>
      <c r="D775">
        <v>1</v>
      </c>
      <c r="E775">
        <v>1218.1500000000001</v>
      </c>
      <c r="F775">
        <f>IF(Tradebook_2023_2026[[#This Row],[Trade Type]]="buy",-(Tradebook_2023_2026[[#This Row],[Quantity]]*Tradebook_2023_2026[[#This Row],[Price]]),(Tradebook_2023_2026[[#This Row],[Quantity]]*Tradebook_2023_2026[[#This Row],[Price]]))</f>
        <v>-1218.1500000000001</v>
      </c>
    </row>
    <row r="776" spans="1:6">
      <c r="A776" t="s">
        <v>54</v>
      </c>
      <c r="B776" s="1">
        <v>45602</v>
      </c>
      <c r="C776" t="s">
        <v>8</v>
      </c>
      <c r="D776">
        <v>61</v>
      </c>
      <c r="E776">
        <v>1218.3</v>
      </c>
      <c r="F776">
        <f>IF(Tradebook_2023_2026[[#This Row],[Trade Type]]="buy",-(Tradebook_2023_2026[[#This Row],[Quantity]]*Tradebook_2023_2026[[#This Row],[Price]]),(Tradebook_2023_2026[[#This Row],[Quantity]]*Tradebook_2023_2026[[#This Row],[Price]]))</f>
        <v>-74316.3</v>
      </c>
    </row>
    <row r="777" spans="1:6">
      <c r="A777" t="s">
        <v>54</v>
      </c>
      <c r="B777" s="1">
        <v>45602</v>
      </c>
      <c r="C777" t="s">
        <v>8</v>
      </c>
      <c r="D777">
        <v>9</v>
      </c>
      <c r="E777">
        <v>1218.2</v>
      </c>
      <c r="F777">
        <f>IF(Tradebook_2023_2026[[#This Row],[Trade Type]]="buy",-(Tradebook_2023_2026[[#This Row],[Quantity]]*Tradebook_2023_2026[[#This Row],[Price]]),(Tradebook_2023_2026[[#This Row],[Quantity]]*Tradebook_2023_2026[[#This Row],[Price]]))</f>
        <v>-10963.800000000001</v>
      </c>
    </row>
    <row r="778" spans="1:6">
      <c r="A778" t="s">
        <v>54</v>
      </c>
      <c r="B778" s="1">
        <v>45602</v>
      </c>
      <c r="C778" t="s">
        <v>8</v>
      </c>
      <c r="D778">
        <v>10</v>
      </c>
      <c r="E778">
        <v>1218.0999999999999</v>
      </c>
      <c r="F778">
        <f>IF(Tradebook_2023_2026[[#This Row],[Trade Type]]="buy",-(Tradebook_2023_2026[[#This Row],[Quantity]]*Tradebook_2023_2026[[#This Row],[Price]]),(Tradebook_2023_2026[[#This Row],[Quantity]]*Tradebook_2023_2026[[#This Row],[Price]]))</f>
        <v>-12181</v>
      </c>
    </row>
    <row r="779" spans="1:6">
      <c r="A779" t="s">
        <v>113</v>
      </c>
      <c r="B779" s="1">
        <v>45602</v>
      </c>
      <c r="C779" t="s">
        <v>8</v>
      </c>
      <c r="D779">
        <v>40</v>
      </c>
      <c r="E779">
        <v>38.299999999999997</v>
      </c>
      <c r="F779">
        <f>IF(Tradebook_2023_2026[[#This Row],[Trade Type]]="buy",-(Tradebook_2023_2026[[#This Row],[Quantity]]*Tradebook_2023_2026[[#This Row],[Price]]),(Tradebook_2023_2026[[#This Row],[Quantity]]*Tradebook_2023_2026[[#This Row],[Price]]))</f>
        <v>-1532</v>
      </c>
    </row>
    <row r="780" spans="1:6">
      <c r="A780" t="s">
        <v>113</v>
      </c>
      <c r="B780" s="1">
        <v>45602</v>
      </c>
      <c r="C780" t="s">
        <v>8</v>
      </c>
      <c r="D780">
        <v>955</v>
      </c>
      <c r="E780">
        <v>38.299999999999997</v>
      </c>
      <c r="F780">
        <f>IF(Tradebook_2023_2026[[#This Row],[Trade Type]]="buy",-(Tradebook_2023_2026[[#This Row],[Quantity]]*Tradebook_2023_2026[[#This Row],[Price]]),(Tradebook_2023_2026[[#This Row],[Quantity]]*Tradebook_2023_2026[[#This Row],[Price]]))</f>
        <v>-36576.5</v>
      </c>
    </row>
    <row r="781" spans="1:6">
      <c r="A781" t="s">
        <v>113</v>
      </c>
      <c r="B781" s="1">
        <v>45602</v>
      </c>
      <c r="C781" t="s">
        <v>8</v>
      </c>
      <c r="D781">
        <v>164</v>
      </c>
      <c r="E781">
        <v>38.299999999999997</v>
      </c>
      <c r="F781">
        <f>IF(Tradebook_2023_2026[[#This Row],[Trade Type]]="buy",-(Tradebook_2023_2026[[#This Row],[Quantity]]*Tradebook_2023_2026[[#This Row],[Price]]),(Tradebook_2023_2026[[#This Row],[Quantity]]*Tradebook_2023_2026[[#This Row],[Price]]))</f>
        <v>-6281.2</v>
      </c>
    </row>
    <row r="782" spans="1:6">
      <c r="A782" t="s">
        <v>113</v>
      </c>
      <c r="B782" s="1">
        <v>45602</v>
      </c>
      <c r="C782" t="s">
        <v>8</v>
      </c>
      <c r="D782">
        <v>647</v>
      </c>
      <c r="E782">
        <v>38.299999999999997</v>
      </c>
      <c r="F782">
        <f>IF(Tradebook_2023_2026[[#This Row],[Trade Type]]="buy",-(Tradebook_2023_2026[[#This Row],[Quantity]]*Tradebook_2023_2026[[#This Row],[Price]]),(Tradebook_2023_2026[[#This Row],[Quantity]]*Tradebook_2023_2026[[#This Row],[Price]]))</f>
        <v>-24780.1</v>
      </c>
    </row>
    <row r="783" spans="1:6">
      <c r="A783" t="s">
        <v>113</v>
      </c>
      <c r="B783" s="1">
        <v>45602</v>
      </c>
      <c r="C783" t="s">
        <v>8</v>
      </c>
      <c r="D783">
        <v>131</v>
      </c>
      <c r="E783">
        <v>38.299999999999997</v>
      </c>
      <c r="F783">
        <f>IF(Tradebook_2023_2026[[#This Row],[Trade Type]]="buy",-(Tradebook_2023_2026[[#This Row],[Quantity]]*Tradebook_2023_2026[[#This Row],[Price]]),(Tradebook_2023_2026[[#This Row],[Quantity]]*Tradebook_2023_2026[[#This Row],[Price]]))</f>
        <v>-5017.2999999999993</v>
      </c>
    </row>
    <row r="784" spans="1:6">
      <c r="A784" t="s">
        <v>113</v>
      </c>
      <c r="B784" s="1">
        <v>45602</v>
      </c>
      <c r="C784" t="s">
        <v>8</v>
      </c>
      <c r="D784">
        <v>232</v>
      </c>
      <c r="E784">
        <v>38.299999999999997</v>
      </c>
      <c r="F784">
        <f>IF(Tradebook_2023_2026[[#This Row],[Trade Type]]="buy",-(Tradebook_2023_2026[[#This Row],[Quantity]]*Tradebook_2023_2026[[#This Row],[Price]]),(Tradebook_2023_2026[[#This Row],[Quantity]]*Tradebook_2023_2026[[#This Row],[Price]]))</f>
        <v>-8885.5999999999985</v>
      </c>
    </row>
    <row r="785" spans="1:6">
      <c r="A785" t="s">
        <v>113</v>
      </c>
      <c r="B785" s="1">
        <v>45602</v>
      </c>
      <c r="C785" t="s">
        <v>8</v>
      </c>
      <c r="D785">
        <v>331</v>
      </c>
      <c r="E785">
        <v>38.31</v>
      </c>
      <c r="F785">
        <f>IF(Tradebook_2023_2026[[#This Row],[Trade Type]]="buy",-(Tradebook_2023_2026[[#This Row],[Quantity]]*Tradebook_2023_2026[[#This Row],[Price]]),(Tradebook_2023_2026[[#This Row],[Quantity]]*Tradebook_2023_2026[[#This Row],[Price]]))</f>
        <v>-12680.61</v>
      </c>
    </row>
    <row r="786" spans="1:6">
      <c r="A786" t="s">
        <v>61</v>
      </c>
      <c r="B786" s="1">
        <v>45602</v>
      </c>
      <c r="C786" t="s">
        <v>8</v>
      </c>
      <c r="D786">
        <v>174</v>
      </c>
      <c r="E786">
        <v>367</v>
      </c>
      <c r="F786">
        <f>IF(Tradebook_2023_2026[[#This Row],[Trade Type]]="buy",-(Tradebook_2023_2026[[#This Row],[Quantity]]*Tradebook_2023_2026[[#This Row],[Price]]),(Tradebook_2023_2026[[#This Row],[Quantity]]*Tradebook_2023_2026[[#This Row],[Price]]))</f>
        <v>-63858</v>
      </c>
    </row>
    <row r="787" spans="1:6">
      <c r="A787" t="s">
        <v>61</v>
      </c>
      <c r="B787" s="1">
        <v>45602</v>
      </c>
      <c r="C787" t="s">
        <v>8</v>
      </c>
      <c r="D787">
        <v>1</v>
      </c>
      <c r="E787">
        <v>367</v>
      </c>
      <c r="F787">
        <f>IF(Tradebook_2023_2026[[#This Row],[Trade Type]]="buy",-(Tradebook_2023_2026[[#This Row],[Quantity]]*Tradebook_2023_2026[[#This Row],[Price]]),(Tradebook_2023_2026[[#This Row],[Quantity]]*Tradebook_2023_2026[[#This Row],[Price]]))</f>
        <v>-367</v>
      </c>
    </row>
    <row r="788" spans="1:6">
      <c r="A788" t="s">
        <v>61</v>
      </c>
      <c r="B788" s="1">
        <v>45602</v>
      </c>
      <c r="C788" t="s">
        <v>8</v>
      </c>
      <c r="D788">
        <v>20</v>
      </c>
      <c r="E788">
        <v>367</v>
      </c>
      <c r="F788">
        <f>IF(Tradebook_2023_2026[[#This Row],[Trade Type]]="buy",-(Tradebook_2023_2026[[#This Row],[Quantity]]*Tradebook_2023_2026[[#This Row],[Price]]),(Tradebook_2023_2026[[#This Row],[Quantity]]*Tradebook_2023_2026[[#This Row],[Price]]))</f>
        <v>-7340</v>
      </c>
    </row>
    <row r="789" spans="1:6">
      <c r="A789" t="s">
        <v>61</v>
      </c>
      <c r="B789" s="1">
        <v>45602</v>
      </c>
      <c r="C789" t="s">
        <v>8</v>
      </c>
      <c r="D789">
        <v>75</v>
      </c>
      <c r="E789">
        <v>367</v>
      </c>
      <c r="F789">
        <f>IF(Tradebook_2023_2026[[#This Row],[Trade Type]]="buy",-(Tradebook_2023_2026[[#This Row],[Quantity]]*Tradebook_2023_2026[[#This Row],[Price]]),(Tradebook_2023_2026[[#This Row],[Quantity]]*Tradebook_2023_2026[[#This Row],[Price]]))</f>
        <v>-27525</v>
      </c>
    </row>
    <row r="790" spans="1:6">
      <c r="A790" t="s">
        <v>90</v>
      </c>
      <c r="B790" s="1">
        <v>45602</v>
      </c>
      <c r="C790" t="s">
        <v>8</v>
      </c>
      <c r="D790">
        <v>268</v>
      </c>
      <c r="E790">
        <v>372.45</v>
      </c>
      <c r="F790">
        <f>IF(Tradebook_2023_2026[[#This Row],[Trade Type]]="buy",-(Tradebook_2023_2026[[#This Row],[Quantity]]*Tradebook_2023_2026[[#This Row],[Price]]),(Tradebook_2023_2026[[#This Row],[Quantity]]*Tradebook_2023_2026[[#This Row],[Price]]))</f>
        <v>-99816.599999999991</v>
      </c>
    </row>
    <row r="791" spans="1:6">
      <c r="A791" t="s">
        <v>114</v>
      </c>
      <c r="B791" s="1">
        <v>45602</v>
      </c>
      <c r="C791" t="s">
        <v>8</v>
      </c>
      <c r="D791">
        <v>314</v>
      </c>
      <c r="E791">
        <v>319</v>
      </c>
      <c r="F791">
        <f>IF(Tradebook_2023_2026[[#This Row],[Trade Type]]="buy",-(Tradebook_2023_2026[[#This Row],[Quantity]]*Tradebook_2023_2026[[#This Row],[Price]]),(Tradebook_2023_2026[[#This Row],[Quantity]]*Tradebook_2023_2026[[#This Row],[Price]]))</f>
        <v>-100166</v>
      </c>
    </row>
    <row r="792" spans="1:6">
      <c r="A792" t="s">
        <v>115</v>
      </c>
      <c r="B792" s="1">
        <v>45602</v>
      </c>
      <c r="C792" t="s">
        <v>8</v>
      </c>
      <c r="D792">
        <v>404</v>
      </c>
      <c r="E792">
        <v>185.95</v>
      </c>
      <c r="F792">
        <f>IF(Tradebook_2023_2026[[#This Row],[Trade Type]]="buy",-(Tradebook_2023_2026[[#This Row],[Quantity]]*Tradebook_2023_2026[[#This Row],[Price]]),(Tradebook_2023_2026[[#This Row],[Quantity]]*Tradebook_2023_2026[[#This Row],[Price]]))</f>
        <v>-75123.799999999988</v>
      </c>
    </row>
    <row r="793" spans="1:6">
      <c r="A793" t="s">
        <v>115</v>
      </c>
      <c r="B793" s="1">
        <v>45602</v>
      </c>
      <c r="C793" t="s">
        <v>8</v>
      </c>
      <c r="D793">
        <v>10</v>
      </c>
      <c r="E793">
        <v>185.95</v>
      </c>
      <c r="F793">
        <f>IF(Tradebook_2023_2026[[#This Row],[Trade Type]]="buy",-(Tradebook_2023_2026[[#This Row],[Quantity]]*Tradebook_2023_2026[[#This Row],[Price]]),(Tradebook_2023_2026[[#This Row],[Quantity]]*Tradebook_2023_2026[[#This Row],[Price]]))</f>
        <v>-1859.5</v>
      </c>
    </row>
    <row r="794" spans="1:6">
      <c r="A794" t="s">
        <v>115</v>
      </c>
      <c r="B794" s="1">
        <v>45602</v>
      </c>
      <c r="C794" t="s">
        <v>8</v>
      </c>
      <c r="D794">
        <v>1</v>
      </c>
      <c r="E794">
        <v>185.95</v>
      </c>
      <c r="F794">
        <f>IF(Tradebook_2023_2026[[#This Row],[Trade Type]]="buy",-(Tradebook_2023_2026[[#This Row],[Quantity]]*Tradebook_2023_2026[[#This Row],[Price]]),(Tradebook_2023_2026[[#This Row],[Quantity]]*Tradebook_2023_2026[[#This Row],[Price]]))</f>
        <v>-185.95</v>
      </c>
    </row>
    <row r="795" spans="1:6">
      <c r="A795" t="s">
        <v>115</v>
      </c>
      <c r="B795" s="1">
        <v>45602</v>
      </c>
      <c r="C795" t="s">
        <v>8</v>
      </c>
      <c r="D795">
        <v>25</v>
      </c>
      <c r="E795">
        <v>185.95</v>
      </c>
      <c r="F795">
        <f>IF(Tradebook_2023_2026[[#This Row],[Trade Type]]="buy",-(Tradebook_2023_2026[[#This Row],[Quantity]]*Tradebook_2023_2026[[#This Row],[Price]]),(Tradebook_2023_2026[[#This Row],[Quantity]]*Tradebook_2023_2026[[#This Row],[Price]]))</f>
        <v>-4648.75</v>
      </c>
    </row>
    <row r="796" spans="1:6">
      <c r="A796" t="s">
        <v>115</v>
      </c>
      <c r="B796" s="1">
        <v>45602</v>
      </c>
      <c r="C796" t="s">
        <v>8</v>
      </c>
      <c r="D796">
        <v>100</v>
      </c>
      <c r="E796">
        <v>185.95</v>
      </c>
      <c r="F796">
        <f>IF(Tradebook_2023_2026[[#This Row],[Trade Type]]="buy",-(Tradebook_2023_2026[[#This Row],[Quantity]]*Tradebook_2023_2026[[#This Row],[Price]]),(Tradebook_2023_2026[[#This Row],[Quantity]]*Tradebook_2023_2026[[#This Row],[Price]]))</f>
        <v>-18595</v>
      </c>
    </row>
    <row r="797" spans="1:6">
      <c r="A797" t="s">
        <v>84</v>
      </c>
      <c r="B797" s="1">
        <v>45602</v>
      </c>
      <c r="C797" t="s">
        <v>8</v>
      </c>
      <c r="D797">
        <v>580</v>
      </c>
      <c r="E797">
        <v>171.85</v>
      </c>
      <c r="F797">
        <f>IF(Tradebook_2023_2026[[#This Row],[Trade Type]]="buy",-(Tradebook_2023_2026[[#This Row],[Quantity]]*Tradebook_2023_2026[[#This Row],[Price]]),(Tradebook_2023_2026[[#This Row],[Quantity]]*Tradebook_2023_2026[[#This Row],[Price]]))</f>
        <v>-99673</v>
      </c>
    </row>
    <row r="798" spans="1:6">
      <c r="A798" t="s">
        <v>83</v>
      </c>
      <c r="B798" s="1">
        <v>45602</v>
      </c>
      <c r="C798" t="s">
        <v>8</v>
      </c>
      <c r="D798">
        <v>670</v>
      </c>
      <c r="E798">
        <v>151.1</v>
      </c>
      <c r="F798">
        <f>IF(Tradebook_2023_2026[[#This Row],[Trade Type]]="buy",-(Tradebook_2023_2026[[#This Row],[Quantity]]*Tradebook_2023_2026[[#This Row],[Price]]),(Tradebook_2023_2026[[#This Row],[Quantity]]*Tradebook_2023_2026[[#This Row],[Price]]))</f>
        <v>-101237</v>
      </c>
    </row>
    <row r="799" spans="1:6">
      <c r="A799" t="s">
        <v>46</v>
      </c>
      <c r="B799" s="1">
        <v>45602</v>
      </c>
      <c r="C799" t="s">
        <v>8</v>
      </c>
      <c r="D799">
        <v>4000</v>
      </c>
      <c r="E799">
        <v>20.73</v>
      </c>
      <c r="F799">
        <f>IF(Tradebook_2023_2026[[#This Row],[Trade Type]]="buy",-(Tradebook_2023_2026[[#This Row],[Quantity]]*Tradebook_2023_2026[[#This Row],[Price]]),(Tradebook_2023_2026[[#This Row],[Quantity]]*Tradebook_2023_2026[[#This Row],[Price]]))</f>
        <v>-82920</v>
      </c>
    </row>
    <row r="800" spans="1:6">
      <c r="A800" t="s">
        <v>58</v>
      </c>
      <c r="B800" s="1">
        <v>45602</v>
      </c>
      <c r="C800" t="s">
        <v>8</v>
      </c>
      <c r="D800">
        <v>16</v>
      </c>
      <c r="E800">
        <v>1065.7</v>
      </c>
      <c r="F800">
        <f>IF(Tradebook_2023_2026[[#This Row],[Trade Type]]="buy",-(Tradebook_2023_2026[[#This Row],[Quantity]]*Tradebook_2023_2026[[#This Row],[Price]]),(Tradebook_2023_2026[[#This Row],[Quantity]]*Tradebook_2023_2026[[#This Row],[Price]]))</f>
        <v>-17051.2</v>
      </c>
    </row>
    <row r="801" spans="1:6">
      <c r="A801" t="s">
        <v>58</v>
      </c>
      <c r="B801" s="1">
        <v>45602</v>
      </c>
      <c r="C801" t="s">
        <v>8</v>
      </c>
      <c r="D801">
        <v>2</v>
      </c>
      <c r="E801">
        <v>1065.3</v>
      </c>
      <c r="F801">
        <f>IF(Tradebook_2023_2026[[#This Row],[Trade Type]]="buy",-(Tradebook_2023_2026[[#This Row],[Quantity]]*Tradebook_2023_2026[[#This Row],[Price]]),(Tradebook_2023_2026[[#This Row],[Quantity]]*Tradebook_2023_2026[[#This Row],[Price]]))</f>
        <v>-2130.6</v>
      </c>
    </row>
    <row r="802" spans="1:6">
      <c r="A802" t="s">
        <v>58</v>
      </c>
      <c r="B802" s="1">
        <v>45602</v>
      </c>
      <c r="C802" t="s">
        <v>8</v>
      </c>
      <c r="D802">
        <v>15</v>
      </c>
      <c r="E802">
        <v>1065.3</v>
      </c>
      <c r="F802">
        <f>IF(Tradebook_2023_2026[[#This Row],[Trade Type]]="buy",-(Tradebook_2023_2026[[#This Row],[Quantity]]*Tradebook_2023_2026[[#This Row],[Price]]),(Tradebook_2023_2026[[#This Row],[Quantity]]*Tradebook_2023_2026[[#This Row],[Price]]))</f>
        <v>-15979.5</v>
      </c>
    </row>
    <row r="803" spans="1:6">
      <c r="A803" t="s">
        <v>58</v>
      </c>
      <c r="B803" s="1">
        <v>45602</v>
      </c>
      <c r="C803" t="s">
        <v>8</v>
      </c>
      <c r="D803">
        <v>10</v>
      </c>
      <c r="E803">
        <v>1065.75</v>
      </c>
      <c r="F803">
        <f>IF(Tradebook_2023_2026[[#This Row],[Trade Type]]="buy",-(Tradebook_2023_2026[[#This Row],[Quantity]]*Tradebook_2023_2026[[#This Row],[Price]]),(Tradebook_2023_2026[[#This Row],[Quantity]]*Tradebook_2023_2026[[#This Row],[Price]]))</f>
        <v>-10657.5</v>
      </c>
    </row>
    <row r="804" spans="1:6">
      <c r="A804" t="s">
        <v>58</v>
      </c>
      <c r="B804" s="1">
        <v>45602</v>
      </c>
      <c r="C804" t="s">
        <v>8</v>
      </c>
      <c r="D804">
        <v>9</v>
      </c>
      <c r="E804">
        <v>1065.8</v>
      </c>
      <c r="F804">
        <f>IF(Tradebook_2023_2026[[#This Row],[Trade Type]]="buy",-(Tradebook_2023_2026[[#This Row],[Quantity]]*Tradebook_2023_2026[[#This Row],[Price]]),(Tradebook_2023_2026[[#This Row],[Quantity]]*Tradebook_2023_2026[[#This Row],[Price]]))</f>
        <v>-9592.1999999999989</v>
      </c>
    </row>
    <row r="805" spans="1:6">
      <c r="A805" t="s">
        <v>58</v>
      </c>
      <c r="B805" s="1">
        <v>45602</v>
      </c>
      <c r="C805" t="s">
        <v>8</v>
      </c>
      <c r="D805">
        <v>14</v>
      </c>
      <c r="E805">
        <v>1065.8</v>
      </c>
      <c r="F805">
        <f>IF(Tradebook_2023_2026[[#This Row],[Trade Type]]="buy",-(Tradebook_2023_2026[[#This Row],[Quantity]]*Tradebook_2023_2026[[#This Row],[Price]]),(Tradebook_2023_2026[[#This Row],[Quantity]]*Tradebook_2023_2026[[#This Row],[Price]]))</f>
        <v>-14921.199999999999</v>
      </c>
    </row>
    <row r="806" spans="1:6">
      <c r="A806" t="s">
        <v>58</v>
      </c>
      <c r="B806" s="1">
        <v>45602</v>
      </c>
      <c r="C806" t="s">
        <v>8</v>
      </c>
      <c r="D806">
        <v>16</v>
      </c>
      <c r="E806">
        <v>1065.8499999999999</v>
      </c>
      <c r="F806">
        <f>IF(Tradebook_2023_2026[[#This Row],[Trade Type]]="buy",-(Tradebook_2023_2026[[#This Row],[Quantity]]*Tradebook_2023_2026[[#This Row],[Price]]),(Tradebook_2023_2026[[#This Row],[Quantity]]*Tradebook_2023_2026[[#This Row],[Price]]))</f>
        <v>-17053.599999999999</v>
      </c>
    </row>
    <row r="807" spans="1:6">
      <c r="A807" t="s">
        <v>58</v>
      </c>
      <c r="B807" s="1">
        <v>45602</v>
      </c>
      <c r="C807" t="s">
        <v>8</v>
      </c>
      <c r="D807">
        <v>12</v>
      </c>
      <c r="E807">
        <v>1065.9000000000001</v>
      </c>
      <c r="F807">
        <f>IF(Tradebook_2023_2026[[#This Row],[Trade Type]]="buy",-(Tradebook_2023_2026[[#This Row],[Quantity]]*Tradebook_2023_2026[[#This Row],[Price]]),(Tradebook_2023_2026[[#This Row],[Quantity]]*Tradebook_2023_2026[[#This Row],[Price]]))</f>
        <v>-12790.800000000001</v>
      </c>
    </row>
    <row r="808" spans="1:6">
      <c r="A808" t="s">
        <v>58</v>
      </c>
      <c r="B808" s="1">
        <v>45602</v>
      </c>
      <c r="C808" t="s">
        <v>8</v>
      </c>
      <c r="D808">
        <v>4</v>
      </c>
      <c r="E808">
        <v>1065.95</v>
      </c>
      <c r="F808">
        <f>IF(Tradebook_2023_2026[[#This Row],[Trade Type]]="buy",-(Tradebook_2023_2026[[#This Row],[Quantity]]*Tradebook_2023_2026[[#This Row],[Price]]),(Tradebook_2023_2026[[#This Row],[Quantity]]*Tradebook_2023_2026[[#This Row],[Price]]))</f>
        <v>-4263.8</v>
      </c>
    </row>
    <row r="809" spans="1:6">
      <c r="A809" t="s">
        <v>58</v>
      </c>
      <c r="B809" s="1">
        <v>45602</v>
      </c>
      <c r="C809" t="s">
        <v>8</v>
      </c>
      <c r="D809">
        <v>2</v>
      </c>
      <c r="E809">
        <v>1065.95</v>
      </c>
      <c r="F809">
        <f>IF(Tradebook_2023_2026[[#This Row],[Trade Type]]="buy",-(Tradebook_2023_2026[[#This Row],[Quantity]]*Tradebook_2023_2026[[#This Row],[Price]]),(Tradebook_2023_2026[[#This Row],[Quantity]]*Tradebook_2023_2026[[#This Row],[Price]]))</f>
        <v>-2131.9</v>
      </c>
    </row>
    <row r="810" spans="1:6">
      <c r="A810" t="s">
        <v>116</v>
      </c>
      <c r="B810" s="1">
        <v>45602</v>
      </c>
      <c r="C810" t="s">
        <v>8</v>
      </c>
      <c r="D810">
        <v>42</v>
      </c>
      <c r="E810">
        <v>701.7</v>
      </c>
      <c r="F810">
        <f>IF(Tradebook_2023_2026[[#This Row],[Trade Type]]="buy",-(Tradebook_2023_2026[[#This Row],[Quantity]]*Tradebook_2023_2026[[#This Row],[Price]]),(Tradebook_2023_2026[[#This Row],[Quantity]]*Tradebook_2023_2026[[#This Row],[Price]]))</f>
        <v>-29471.4</v>
      </c>
    </row>
    <row r="811" spans="1:6">
      <c r="A811" t="s">
        <v>116</v>
      </c>
      <c r="B811" s="1">
        <v>45602</v>
      </c>
      <c r="C811" t="s">
        <v>8</v>
      </c>
      <c r="D811">
        <v>4</v>
      </c>
      <c r="E811">
        <v>701.7</v>
      </c>
      <c r="F811">
        <f>IF(Tradebook_2023_2026[[#This Row],[Trade Type]]="buy",-(Tradebook_2023_2026[[#This Row],[Quantity]]*Tradebook_2023_2026[[#This Row],[Price]]),(Tradebook_2023_2026[[#This Row],[Quantity]]*Tradebook_2023_2026[[#This Row],[Price]]))</f>
        <v>-2806.8</v>
      </c>
    </row>
    <row r="812" spans="1:6">
      <c r="A812" t="s">
        <v>116</v>
      </c>
      <c r="B812" s="1">
        <v>45602</v>
      </c>
      <c r="C812" t="s">
        <v>8</v>
      </c>
      <c r="D812">
        <v>4</v>
      </c>
      <c r="E812">
        <v>701.85</v>
      </c>
      <c r="F812">
        <f>IF(Tradebook_2023_2026[[#This Row],[Trade Type]]="buy",-(Tradebook_2023_2026[[#This Row],[Quantity]]*Tradebook_2023_2026[[#This Row],[Price]]),(Tradebook_2023_2026[[#This Row],[Quantity]]*Tradebook_2023_2026[[#This Row],[Price]]))</f>
        <v>-2807.4</v>
      </c>
    </row>
    <row r="813" spans="1:6">
      <c r="A813" t="s">
        <v>116</v>
      </c>
      <c r="B813" s="1">
        <v>45602</v>
      </c>
      <c r="C813" t="s">
        <v>8</v>
      </c>
      <c r="D813">
        <v>5</v>
      </c>
      <c r="E813">
        <v>701.85</v>
      </c>
      <c r="F813">
        <f>IF(Tradebook_2023_2026[[#This Row],[Trade Type]]="buy",-(Tradebook_2023_2026[[#This Row],[Quantity]]*Tradebook_2023_2026[[#This Row],[Price]]),(Tradebook_2023_2026[[#This Row],[Quantity]]*Tradebook_2023_2026[[#This Row],[Price]]))</f>
        <v>-3509.25</v>
      </c>
    </row>
    <row r="814" spans="1:6">
      <c r="A814" t="s">
        <v>116</v>
      </c>
      <c r="B814" s="1">
        <v>45602</v>
      </c>
      <c r="C814" t="s">
        <v>8</v>
      </c>
      <c r="D814">
        <v>12</v>
      </c>
      <c r="E814">
        <v>701.85</v>
      </c>
      <c r="F814">
        <f>IF(Tradebook_2023_2026[[#This Row],[Trade Type]]="buy",-(Tradebook_2023_2026[[#This Row],[Quantity]]*Tradebook_2023_2026[[#This Row],[Price]]),(Tradebook_2023_2026[[#This Row],[Quantity]]*Tradebook_2023_2026[[#This Row],[Price]]))</f>
        <v>-8422.2000000000007</v>
      </c>
    </row>
    <row r="815" spans="1:6">
      <c r="A815" t="s">
        <v>116</v>
      </c>
      <c r="B815" s="1">
        <v>45602</v>
      </c>
      <c r="C815" t="s">
        <v>8</v>
      </c>
      <c r="D815">
        <v>5</v>
      </c>
      <c r="E815">
        <v>701.85</v>
      </c>
      <c r="F815">
        <f>IF(Tradebook_2023_2026[[#This Row],[Trade Type]]="buy",-(Tradebook_2023_2026[[#This Row],[Quantity]]*Tradebook_2023_2026[[#This Row],[Price]]),(Tradebook_2023_2026[[#This Row],[Quantity]]*Tradebook_2023_2026[[#This Row],[Price]]))</f>
        <v>-3509.25</v>
      </c>
    </row>
    <row r="816" spans="1:6">
      <c r="A816" t="s">
        <v>116</v>
      </c>
      <c r="B816" s="1">
        <v>45602</v>
      </c>
      <c r="C816" t="s">
        <v>8</v>
      </c>
      <c r="D816">
        <v>12</v>
      </c>
      <c r="E816">
        <v>701.85</v>
      </c>
      <c r="F816">
        <f>IF(Tradebook_2023_2026[[#This Row],[Trade Type]]="buy",-(Tradebook_2023_2026[[#This Row],[Quantity]]*Tradebook_2023_2026[[#This Row],[Price]]),(Tradebook_2023_2026[[#This Row],[Quantity]]*Tradebook_2023_2026[[#This Row],[Price]]))</f>
        <v>-8422.2000000000007</v>
      </c>
    </row>
    <row r="817" spans="1:6">
      <c r="A817" t="s">
        <v>116</v>
      </c>
      <c r="B817" s="1">
        <v>45602</v>
      </c>
      <c r="C817" t="s">
        <v>8</v>
      </c>
      <c r="D817">
        <v>5</v>
      </c>
      <c r="E817">
        <v>701.85</v>
      </c>
      <c r="F817">
        <f>IF(Tradebook_2023_2026[[#This Row],[Trade Type]]="buy",-(Tradebook_2023_2026[[#This Row],[Quantity]]*Tradebook_2023_2026[[#This Row],[Price]]),(Tradebook_2023_2026[[#This Row],[Quantity]]*Tradebook_2023_2026[[#This Row],[Price]]))</f>
        <v>-3509.25</v>
      </c>
    </row>
    <row r="818" spans="1:6">
      <c r="A818" t="s">
        <v>116</v>
      </c>
      <c r="B818" s="1">
        <v>45602</v>
      </c>
      <c r="C818" t="s">
        <v>8</v>
      </c>
      <c r="D818">
        <v>3</v>
      </c>
      <c r="E818">
        <v>701.85</v>
      </c>
      <c r="F818">
        <f>IF(Tradebook_2023_2026[[#This Row],[Trade Type]]="buy",-(Tradebook_2023_2026[[#This Row],[Quantity]]*Tradebook_2023_2026[[#This Row],[Price]]),(Tradebook_2023_2026[[#This Row],[Quantity]]*Tradebook_2023_2026[[#This Row],[Price]]))</f>
        <v>-2105.5500000000002</v>
      </c>
    </row>
    <row r="819" spans="1:6">
      <c r="A819" t="s">
        <v>116</v>
      </c>
      <c r="B819" s="1">
        <v>45602</v>
      </c>
      <c r="C819" t="s">
        <v>8</v>
      </c>
      <c r="D819">
        <v>3</v>
      </c>
      <c r="E819">
        <v>701.85</v>
      </c>
      <c r="F819">
        <f>IF(Tradebook_2023_2026[[#This Row],[Trade Type]]="buy",-(Tradebook_2023_2026[[#This Row],[Quantity]]*Tradebook_2023_2026[[#This Row],[Price]]),(Tradebook_2023_2026[[#This Row],[Quantity]]*Tradebook_2023_2026[[#This Row],[Price]]))</f>
        <v>-2105.5500000000002</v>
      </c>
    </row>
    <row r="820" spans="1:6">
      <c r="A820" t="s">
        <v>116</v>
      </c>
      <c r="B820" s="1">
        <v>45602</v>
      </c>
      <c r="C820" t="s">
        <v>8</v>
      </c>
      <c r="D820">
        <v>12</v>
      </c>
      <c r="E820">
        <v>701.85</v>
      </c>
      <c r="F820">
        <f>IF(Tradebook_2023_2026[[#This Row],[Trade Type]]="buy",-(Tradebook_2023_2026[[#This Row],[Quantity]]*Tradebook_2023_2026[[#This Row],[Price]]),(Tradebook_2023_2026[[#This Row],[Quantity]]*Tradebook_2023_2026[[#This Row],[Price]]))</f>
        <v>-8422.2000000000007</v>
      </c>
    </row>
    <row r="821" spans="1:6">
      <c r="A821" t="s">
        <v>116</v>
      </c>
      <c r="B821" s="1">
        <v>45602</v>
      </c>
      <c r="C821" t="s">
        <v>8</v>
      </c>
      <c r="D821">
        <v>5</v>
      </c>
      <c r="E821">
        <v>701.85</v>
      </c>
      <c r="F821">
        <f>IF(Tradebook_2023_2026[[#This Row],[Trade Type]]="buy",-(Tradebook_2023_2026[[#This Row],[Quantity]]*Tradebook_2023_2026[[#This Row],[Price]]),(Tradebook_2023_2026[[#This Row],[Quantity]]*Tradebook_2023_2026[[#This Row],[Price]]))</f>
        <v>-3509.25</v>
      </c>
    </row>
    <row r="822" spans="1:6">
      <c r="A822" t="s">
        <v>116</v>
      </c>
      <c r="B822" s="1">
        <v>45602</v>
      </c>
      <c r="C822" t="s">
        <v>8</v>
      </c>
      <c r="D822">
        <v>3</v>
      </c>
      <c r="E822">
        <v>701.85</v>
      </c>
      <c r="F822">
        <f>IF(Tradebook_2023_2026[[#This Row],[Trade Type]]="buy",-(Tradebook_2023_2026[[#This Row],[Quantity]]*Tradebook_2023_2026[[#This Row],[Price]]),(Tradebook_2023_2026[[#This Row],[Quantity]]*Tradebook_2023_2026[[#This Row],[Price]]))</f>
        <v>-2105.5500000000002</v>
      </c>
    </row>
    <row r="823" spans="1:6">
      <c r="A823" t="s">
        <v>116</v>
      </c>
      <c r="B823" s="1">
        <v>45602</v>
      </c>
      <c r="C823" t="s">
        <v>8</v>
      </c>
      <c r="D823">
        <v>1</v>
      </c>
      <c r="E823">
        <v>701.8</v>
      </c>
      <c r="F823">
        <f>IF(Tradebook_2023_2026[[#This Row],[Trade Type]]="buy",-(Tradebook_2023_2026[[#This Row],[Quantity]]*Tradebook_2023_2026[[#This Row],[Price]]),(Tradebook_2023_2026[[#This Row],[Quantity]]*Tradebook_2023_2026[[#This Row],[Price]]))</f>
        <v>-701.8</v>
      </c>
    </row>
    <row r="824" spans="1:6">
      <c r="A824" t="s">
        <v>116</v>
      </c>
      <c r="B824" s="1">
        <v>45602</v>
      </c>
      <c r="C824" t="s">
        <v>8</v>
      </c>
      <c r="D824">
        <v>26</v>
      </c>
      <c r="E824">
        <v>701.7</v>
      </c>
      <c r="F824">
        <f>IF(Tradebook_2023_2026[[#This Row],[Trade Type]]="buy",-(Tradebook_2023_2026[[#This Row],[Quantity]]*Tradebook_2023_2026[[#This Row],[Price]]),(Tradebook_2023_2026[[#This Row],[Quantity]]*Tradebook_2023_2026[[#This Row],[Price]]))</f>
        <v>-18244.2</v>
      </c>
    </row>
    <row r="825" spans="1:6">
      <c r="A825" t="s">
        <v>117</v>
      </c>
      <c r="B825" s="1">
        <v>45602</v>
      </c>
      <c r="C825" t="s">
        <v>8</v>
      </c>
      <c r="D825">
        <v>35</v>
      </c>
      <c r="E825">
        <v>2753</v>
      </c>
      <c r="F825">
        <f>IF(Tradebook_2023_2026[[#This Row],[Trade Type]]="buy",-(Tradebook_2023_2026[[#This Row],[Quantity]]*Tradebook_2023_2026[[#This Row],[Price]]),(Tradebook_2023_2026[[#This Row],[Quantity]]*Tradebook_2023_2026[[#This Row],[Price]]))</f>
        <v>-96355</v>
      </c>
    </row>
    <row r="826" spans="1:6">
      <c r="A826" t="s">
        <v>117</v>
      </c>
      <c r="B826" s="1">
        <v>45602</v>
      </c>
      <c r="C826" t="s">
        <v>8</v>
      </c>
      <c r="D826">
        <v>40</v>
      </c>
      <c r="E826">
        <v>2747</v>
      </c>
      <c r="F826">
        <f>IF(Tradebook_2023_2026[[#This Row],[Trade Type]]="buy",-(Tradebook_2023_2026[[#This Row],[Quantity]]*Tradebook_2023_2026[[#This Row],[Price]]),(Tradebook_2023_2026[[#This Row],[Quantity]]*Tradebook_2023_2026[[#This Row],[Price]]))</f>
        <v>-109880</v>
      </c>
    </row>
    <row r="827" spans="1:6">
      <c r="A827" t="s">
        <v>118</v>
      </c>
      <c r="B827" s="1">
        <v>45604</v>
      </c>
      <c r="C827" t="s">
        <v>8</v>
      </c>
      <c r="D827">
        <v>93</v>
      </c>
      <c r="E827">
        <v>1065</v>
      </c>
      <c r="F827">
        <f>IF(Tradebook_2023_2026[[#This Row],[Trade Type]]="buy",-(Tradebook_2023_2026[[#This Row],[Quantity]]*Tradebook_2023_2026[[#This Row],[Price]]),(Tradebook_2023_2026[[#This Row],[Quantity]]*Tradebook_2023_2026[[#This Row],[Price]]))</f>
        <v>-99045</v>
      </c>
    </row>
    <row r="828" spans="1:6">
      <c r="A828" t="s">
        <v>7</v>
      </c>
      <c r="B828" s="1">
        <v>45609</v>
      </c>
      <c r="C828" t="s">
        <v>8</v>
      </c>
      <c r="D828">
        <v>19</v>
      </c>
      <c r="E828">
        <v>750.95</v>
      </c>
      <c r="F828">
        <f>IF(Tradebook_2023_2026[[#This Row],[Trade Type]]="buy",-(Tradebook_2023_2026[[#This Row],[Quantity]]*Tradebook_2023_2026[[#This Row],[Price]]),(Tradebook_2023_2026[[#This Row],[Quantity]]*Tradebook_2023_2026[[#This Row],[Price]]))</f>
        <v>-14268.050000000001</v>
      </c>
    </row>
    <row r="829" spans="1:6">
      <c r="A829" t="s">
        <v>7</v>
      </c>
      <c r="B829" s="1">
        <v>45609</v>
      </c>
      <c r="C829" t="s">
        <v>8</v>
      </c>
      <c r="D829">
        <v>53</v>
      </c>
      <c r="E829">
        <v>751</v>
      </c>
      <c r="F829">
        <f>IF(Tradebook_2023_2026[[#This Row],[Trade Type]]="buy",-(Tradebook_2023_2026[[#This Row],[Quantity]]*Tradebook_2023_2026[[#This Row],[Price]]),(Tradebook_2023_2026[[#This Row],[Quantity]]*Tradebook_2023_2026[[#This Row],[Price]]))</f>
        <v>-39803</v>
      </c>
    </row>
    <row r="830" spans="1:6">
      <c r="A830" t="s">
        <v>7</v>
      </c>
      <c r="B830" s="1">
        <v>45609</v>
      </c>
      <c r="C830" t="s">
        <v>8</v>
      </c>
      <c r="D830">
        <v>30</v>
      </c>
      <c r="E830">
        <v>751</v>
      </c>
      <c r="F830">
        <f>IF(Tradebook_2023_2026[[#This Row],[Trade Type]]="buy",-(Tradebook_2023_2026[[#This Row],[Quantity]]*Tradebook_2023_2026[[#This Row],[Price]]),(Tradebook_2023_2026[[#This Row],[Quantity]]*Tradebook_2023_2026[[#This Row],[Price]]))</f>
        <v>-22530</v>
      </c>
    </row>
    <row r="831" spans="1:6">
      <c r="A831" t="s">
        <v>7</v>
      </c>
      <c r="B831" s="1">
        <v>45609</v>
      </c>
      <c r="C831" t="s">
        <v>8</v>
      </c>
      <c r="D831">
        <v>31</v>
      </c>
      <c r="E831">
        <v>751</v>
      </c>
      <c r="F831">
        <f>IF(Tradebook_2023_2026[[#This Row],[Trade Type]]="buy",-(Tradebook_2023_2026[[#This Row],[Quantity]]*Tradebook_2023_2026[[#This Row],[Price]]),(Tradebook_2023_2026[[#This Row],[Quantity]]*Tradebook_2023_2026[[#This Row],[Price]]))</f>
        <v>-23281</v>
      </c>
    </row>
    <row r="832" spans="1:6">
      <c r="A832" t="s">
        <v>119</v>
      </c>
      <c r="B832" s="1">
        <v>45709</v>
      </c>
      <c r="C832" t="s">
        <v>6</v>
      </c>
      <c r="D832">
        <v>1600</v>
      </c>
      <c r="E832">
        <v>71</v>
      </c>
      <c r="F832">
        <f>IF(Tradebook_2023_2026[[#This Row],[Trade Type]]="buy",-(Tradebook_2023_2026[[#This Row],[Quantity]]*Tradebook_2023_2026[[#This Row],[Price]]),(Tradebook_2023_2026[[#This Row],[Quantity]]*Tradebook_2023_2026[[#This Row],[Price]]))</f>
        <v>113600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2552-6570-4E41-B24F-C889BE6EA827}">
  <dimension ref="B2:C82"/>
  <sheetViews>
    <sheetView showGridLines="0" workbookViewId="0">
      <selection activeCell="I23" sqref="I23"/>
    </sheetView>
  </sheetViews>
  <sheetFormatPr defaultRowHeight="14.25"/>
  <cols>
    <col min="1" max="1" width="1.73046875" customWidth="1"/>
    <col min="2" max="2" width="12.06640625" bestFit="1" customWidth="1"/>
    <col min="3" max="3" width="14.3984375" bestFit="1" customWidth="1"/>
    <col min="4" max="4" width="11.73046875" bestFit="1" customWidth="1"/>
    <col min="5" max="5" width="14.3984375" bestFit="1" customWidth="1"/>
    <col min="6" max="6" width="14.1328125" bestFit="1" customWidth="1"/>
    <col min="7" max="7" width="10.86328125" bestFit="1" customWidth="1"/>
    <col min="8" max="8" width="14.3984375" bestFit="1" customWidth="1"/>
  </cols>
  <sheetData>
    <row r="2" spans="2:3">
      <c r="B2" s="2" t="s">
        <v>120</v>
      </c>
      <c r="C2" t="s">
        <v>127</v>
      </c>
    </row>
    <row r="3" spans="2:3">
      <c r="B3" s="5">
        <v>45026</v>
      </c>
      <c r="C3">
        <v>20880</v>
      </c>
    </row>
    <row r="4" spans="2:3">
      <c r="B4" s="5">
        <v>45028</v>
      </c>
      <c r="C4">
        <v>9588.2799999999988</v>
      </c>
    </row>
    <row r="5" spans="2:3">
      <c r="B5" s="5">
        <v>45029</v>
      </c>
      <c r="C5">
        <v>10608.549999999997</v>
      </c>
    </row>
    <row r="6" spans="2:3">
      <c r="B6" s="5">
        <v>45034</v>
      </c>
      <c r="C6">
        <v>145280</v>
      </c>
    </row>
    <row r="7" spans="2:3">
      <c r="B7" s="5">
        <v>45035</v>
      </c>
      <c r="C7">
        <v>58863.9</v>
      </c>
    </row>
    <row r="8" spans="2:3">
      <c r="B8" s="5">
        <v>45036</v>
      </c>
      <c r="C8">
        <v>1300</v>
      </c>
    </row>
    <row r="9" spans="2:3">
      <c r="B9" s="5">
        <v>45037</v>
      </c>
      <c r="C9">
        <v>18880.5</v>
      </c>
    </row>
    <row r="10" spans="2:3">
      <c r="B10" s="5">
        <v>45049</v>
      </c>
      <c r="C10">
        <v>116000</v>
      </c>
    </row>
    <row r="11" spans="2:3">
      <c r="B11" s="5">
        <v>45051</v>
      </c>
      <c r="C11">
        <v>825.5</v>
      </c>
    </row>
    <row r="12" spans="2:3">
      <c r="B12" s="5">
        <v>45061</v>
      </c>
      <c r="C12">
        <v>69138.2</v>
      </c>
    </row>
    <row r="13" spans="2:3">
      <c r="B13" s="5">
        <v>45062</v>
      </c>
      <c r="C13">
        <v>-70000</v>
      </c>
    </row>
    <row r="14" spans="2:3">
      <c r="B14" s="5">
        <v>45063</v>
      </c>
      <c r="C14">
        <v>-51449.999999999993</v>
      </c>
    </row>
    <row r="15" spans="2:3">
      <c r="B15" s="5">
        <v>45065</v>
      </c>
      <c r="C15">
        <v>-149059.5</v>
      </c>
    </row>
    <row r="16" spans="2:3">
      <c r="B16" s="5">
        <v>45068</v>
      </c>
      <c r="C16">
        <v>-90880</v>
      </c>
    </row>
    <row r="17" spans="2:3">
      <c r="B17" s="5">
        <v>45069</v>
      </c>
      <c r="C17">
        <v>45955.5</v>
      </c>
    </row>
    <row r="18" spans="2:3">
      <c r="B18" s="5">
        <v>45071</v>
      </c>
      <c r="C18">
        <v>123475.44999999992</v>
      </c>
    </row>
    <row r="19" spans="2:3">
      <c r="B19" s="5">
        <v>45075</v>
      </c>
      <c r="C19">
        <v>-40640</v>
      </c>
    </row>
    <row r="20" spans="2:3">
      <c r="B20" s="5">
        <v>45079</v>
      </c>
      <c r="C20">
        <v>31432.559999999998</v>
      </c>
    </row>
    <row r="21" spans="2:3">
      <c r="B21" s="5">
        <v>45082</v>
      </c>
      <c r="C21">
        <v>54095.65</v>
      </c>
    </row>
    <row r="22" spans="2:3">
      <c r="B22" s="5">
        <v>45083</v>
      </c>
      <c r="C22">
        <v>-17800</v>
      </c>
    </row>
    <row r="23" spans="2:3">
      <c r="B23" s="5">
        <v>45089</v>
      </c>
      <c r="C23">
        <v>-93727.6</v>
      </c>
    </row>
    <row r="24" spans="2:3">
      <c r="B24" s="5">
        <v>45092</v>
      </c>
      <c r="C24">
        <v>-67200</v>
      </c>
    </row>
    <row r="25" spans="2:3">
      <c r="B25" s="5">
        <v>45097</v>
      </c>
      <c r="C25">
        <v>-19020.2</v>
      </c>
    </row>
    <row r="26" spans="2:3">
      <c r="B26" s="5">
        <v>45100</v>
      </c>
      <c r="C26">
        <v>-12675</v>
      </c>
    </row>
    <row r="27" spans="2:3">
      <c r="B27" s="5">
        <v>45103</v>
      </c>
      <c r="C27">
        <v>-35342.399999999994</v>
      </c>
    </row>
    <row r="28" spans="2:3">
      <c r="B28" s="5">
        <v>45112</v>
      </c>
      <c r="C28">
        <v>-142821.35999999999</v>
      </c>
    </row>
    <row r="29" spans="2:3">
      <c r="B29" s="5">
        <v>45113</v>
      </c>
      <c r="C29">
        <v>13884.25</v>
      </c>
    </row>
    <row r="30" spans="2:3">
      <c r="B30" s="5">
        <v>45128</v>
      </c>
      <c r="C30">
        <v>-63800</v>
      </c>
    </row>
    <row r="31" spans="2:3">
      <c r="B31" s="5">
        <v>45131</v>
      </c>
      <c r="C31">
        <v>-49196</v>
      </c>
    </row>
    <row r="32" spans="2:3">
      <c r="B32" s="5">
        <v>45135</v>
      </c>
      <c r="C32">
        <v>-54064.5</v>
      </c>
    </row>
    <row r="33" spans="2:3">
      <c r="B33" s="5">
        <v>45138</v>
      </c>
      <c r="C33">
        <v>-19861.449999999997</v>
      </c>
    </row>
    <row r="34" spans="2:3">
      <c r="B34" s="5">
        <v>45142</v>
      </c>
      <c r="C34">
        <v>-161522</v>
      </c>
    </row>
    <row r="35" spans="2:3">
      <c r="B35" s="5">
        <v>45152</v>
      </c>
      <c r="C35">
        <v>-138813.75</v>
      </c>
    </row>
    <row r="36" spans="2:3">
      <c r="B36" s="5">
        <v>45160</v>
      </c>
      <c r="C36">
        <v>-50533.200000000004</v>
      </c>
    </row>
    <row r="37" spans="2:3">
      <c r="B37" s="5">
        <v>45181</v>
      </c>
      <c r="C37">
        <v>-86317</v>
      </c>
    </row>
    <row r="38" spans="2:3">
      <c r="B38" s="5">
        <v>45187</v>
      </c>
      <c r="C38">
        <v>-10502.85</v>
      </c>
    </row>
    <row r="39" spans="2:3">
      <c r="B39" s="5">
        <v>45191</v>
      </c>
      <c r="C39">
        <v>-59812.5</v>
      </c>
    </row>
    <row r="40" spans="2:3">
      <c r="B40" s="5">
        <v>45217</v>
      </c>
      <c r="C40">
        <v>40537</v>
      </c>
    </row>
    <row r="41" spans="2:3">
      <c r="B41" s="5">
        <v>45225</v>
      </c>
      <c r="C41">
        <v>-76407.199999999983</v>
      </c>
    </row>
    <row r="42" spans="2:3">
      <c r="B42" s="5">
        <v>45230</v>
      </c>
      <c r="C42">
        <v>-5706</v>
      </c>
    </row>
    <row r="43" spans="2:3">
      <c r="B43" s="5">
        <v>45231</v>
      </c>
      <c r="C43">
        <v>-63632.950000000004</v>
      </c>
    </row>
    <row r="44" spans="2:3">
      <c r="B44" s="5">
        <v>45242</v>
      </c>
      <c r="C44">
        <v>-19580</v>
      </c>
    </row>
    <row r="45" spans="2:3">
      <c r="B45" s="5">
        <v>45247</v>
      </c>
      <c r="C45">
        <v>-25988.3</v>
      </c>
    </row>
    <row r="46" spans="2:3">
      <c r="B46" s="5">
        <v>45455</v>
      </c>
      <c r="C46">
        <v>-30202.239999999947</v>
      </c>
    </row>
    <row r="47" spans="2:3">
      <c r="B47" s="5">
        <v>45456</v>
      </c>
      <c r="C47">
        <v>59218.2</v>
      </c>
    </row>
    <row r="48" spans="2:3">
      <c r="B48" s="5">
        <v>45462</v>
      </c>
      <c r="C48">
        <v>-99968.599999999991</v>
      </c>
    </row>
    <row r="49" spans="2:3">
      <c r="B49" s="5">
        <v>45474</v>
      </c>
      <c r="C49">
        <v>-498927.85</v>
      </c>
    </row>
    <row r="50" spans="2:3">
      <c r="B50" s="5">
        <v>45477</v>
      </c>
      <c r="C50">
        <v>-511691.46</v>
      </c>
    </row>
    <row r="51" spans="2:3">
      <c r="B51" s="5">
        <v>45495</v>
      </c>
      <c r="C51">
        <v>-3509332.1000000006</v>
      </c>
    </row>
    <row r="52" spans="2:3">
      <c r="B52" s="5">
        <v>45602</v>
      </c>
      <c r="C52">
        <v>-1290207.3099999998</v>
      </c>
    </row>
    <row r="53" spans="2:3">
      <c r="B53" s="5">
        <v>45604</v>
      </c>
      <c r="C53">
        <v>-99045</v>
      </c>
    </row>
    <row r="54" spans="2:3">
      <c r="B54" s="5">
        <v>45609</v>
      </c>
      <c r="C54">
        <v>-99882.05</v>
      </c>
    </row>
    <row r="55" spans="2:3">
      <c r="B55" s="5">
        <v>45709</v>
      </c>
      <c r="C55">
        <v>113600</v>
      </c>
    </row>
    <row r="56" spans="2:3">
      <c r="B56" s="5">
        <v>46054</v>
      </c>
      <c r="C56">
        <v>10882.699999999999</v>
      </c>
    </row>
    <row r="57" spans="2:3">
      <c r="B57" s="5">
        <v>46055</v>
      </c>
      <c r="C57">
        <v>5305</v>
      </c>
    </row>
    <row r="58" spans="2:3">
      <c r="B58" s="5">
        <v>46056</v>
      </c>
      <c r="C58">
        <v>1873881.9000000001</v>
      </c>
    </row>
    <row r="59" spans="2:3">
      <c r="B59" s="5">
        <v>46057</v>
      </c>
      <c r="C59">
        <v>-82990.400000000009</v>
      </c>
    </row>
    <row r="60" spans="2:3">
      <c r="B60" s="5">
        <v>46058</v>
      </c>
      <c r="C60">
        <v>-1522.65</v>
      </c>
    </row>
    <row r="61" spans="2:3">
      <c r="B61" s="5">
        <v>46059</v>
      </c>
      <c r="C61">
        <v>-100200</v>
      </c>
    </row>
    <row r="62" spans="2:3">
      <c r="B62" s="5">
        <v>46062</v>
      </c>
      <c r="C62">
        <v>-777868.75</v>
      </c>
    </row>
    <row r="63" spans="2:3">
      <c r="B63" s="5">
        <v>46064</v>
      </c>
      <c r="C63">
        <v>21313.1299</v>
      </c>
    </row>
    <row r="64" spans="2:3">
      <c r="B64" s="5">
        <v>46065</v>
      </c>
      <c r="C64">
        <v>-189708.2</v>
      </c>
    </row>
    <row r="65" spans="2:3">
      <c r="B65" s="5">
        <v>46069</v>
      </c>
      <c r="C65">
        <v>-572014.9</v>
      </c>
    </row>
    <row r="66" spans="2:3">
      <c r="B66" s="5">
        <v>46070</v>
      </c>
      <c r="C66">
        <v>-199808</v>
      </c>
    </row>
    <row r="67" spans="2:3">
      <c r="B67" s="5">
        <v>46072</v>
      </c>
      <c r="C67">
        <v>-193028.4</v>
      </c>
    </row>
    <row r="68" spans="2:3">
      <c r="B68" s="5">
        <v>46076</v>
      </c>
      <c r="C68">
        <v>-59035</v>
      </c>
    </row>
    <row r="69" spans="2:3">
      <c r="B69" s="5">
        <v>46083</v>
      </c>
      <c r="C69">
        <v>-930545.94</v>
      </c>
    </row>
    <row r="70" spans="2:3">
      <c r="B70" s="5">
        <v>46085</v>
      </c>
      <c r="C70">
        <v>-377267</v>
      </c>
    </row>
    <row r="71" spans="2:3">
      <c r="B71" s="5">
        <v>46087</v>
      </c>
      <c r="C71">
        <v>-130791.5</v>
      </c>
    </row>
    <row r="72" spans="2:3">
      <c r="B72" s="5">
        <v>46090</v>
      </c>
      <c r="C72">
        <v>-422509.35259999998</v>
      </c>
    </row>
    <row r="73" spans="2:3">
      <c r="B73" s="5">
        <v>46091</v>
      </c>
      <c r="C73">
        <v>2590390</v>
      </c>
    </row>
    <row r="74" spans="2:3">
      <c r="B74" s="5">
        <v>46093</v>
      </c>
      <c r="C74">
        <v>-199875</v>
      </c>
    </row>
    <row r="75" spans="2:3">
      <c r="B75" s="5">
        <v>46094</v>
      </c>
      <c r="C75">
        <v>-1235708</v>
      </c>
    </row>
    <row r="76" spans="2:3">
      <c r="B76" s="5">
        <v>46097</v>
      </c>
      <c r="C76">
        <v>-1303364</v>
      </c>
    </row>
    <row r="77" spans="2:3">
      <c r="B77" s="5">
        <v>46098</v>
      </c>
      <c r="C77">
        <v>53898.45</v>
      </c>
    </row>
    <row r="78" spans="2:3">
      <c r="B78" s="5">
        <v>46099</v>
      </c>
      <c r="C78">
        <v>462090.15</v>
      </c>
    </row>
    <row r="79" spans="2:3">
      <c r="B79" s="5">
        <v>46104</v>
      </c>
      <c r="C79">
        <v>-469087.5</v>
      </c>
    </row>
    <row r="80" spans="2:3">
      <c r="B80" s="5">
        <v>46105</v>
      </c>
      <c r="C80">
        <v>-441757.80000000005</v>
      </c>
    </row>
    <row r="81" spans="2:3">
      <c r="B81" s="5">
        <v>46108</v>
      </c>
      <c r="C81">
        <v>495490.30000000005</v>
      </c>
    </row>
    <row r="82" spans="2:3">
      <c r="B82" s="5">
        <v>46111</v>
      </c>
      <c r="C82">
        <v>-1344240.1787000003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2340-235B-4A01-A0C3-73291ED2AE83}">
  <dimension ref="A1:H115"/>
  <sheetViews>
    <sheetView showGridLines="0" workbookViewId="0">
      <selection activeCell="C27" sqref="C27"/>
    </sheetView>
  </sheetViews>
  <sheetFormatPr defaultRowHeight="14.25"/>
  <cols>
    <col min="1" max="1" width="1.73046875" customWidth="1"/>
    <col min="2" max="2" width="11.9296875" bestFit="1" customWidth="1"/>
    <col min="3" max="3" width="9.3984375" customWidth="1"/>
    <col min="4" max="4" width="10.06640625" customWidth="1"/>
    <col min="5" max="5" width="9.19921875" customWidth="1"/>
    <col min="6" max="6" width="9.86328125" customWidth="1"/>
    <col min="7" max="7" width="16.19921875" customWidth="1"/>
  </cols>
  <sheetData>
    <row r="1" spans="1:8">
      <c r="A1" s="3"/>
    </row>
    <row r="2" spans="1:8">
      <c r="B2" t="s">
        <v>121</v>
      </c>
      <c r="C2" t="s">
        <v>122</v>
      </c>
      <c r="D2" t="s">
        <v>128</v>
      </c>
      <c r="E2" t="s">
        <v>123</v>
      </c>
      <c r="F2" t="s">
        <v>129</v>
      </c>
      <c r="G2" t="s">
        <v>127</v>
      </c>
      <c r="H2" t="s">
        <v>130</v>
      </c>
    </row>
    <row r="3" spans="1:8">
      <c r="B3" t="s">
        <v>28</v>
      </c>
      <c r="C3">
        <v>34</v>
      </c>
      <c r="D3">
        <v>17259</v>
      </c>
      <c r="G3">
        <v>-195602</v>
      </c>
      <c r="H3">
        <f>Table3[[#This Row],[Buy QTY]]-Table3[[#This Row],[Sell QTY]]</f>
        <v>34</v>
      </c>
    </row>
    <row r="4" spans="1:8">
      <c r="B4" t="s">
        <v>97</v>
      </c>
      <c r="C4">
        <v>945</v>
      </c>
      <c r="D4">
        <v>193.45999999999998</v>
      </c>
      <c r="G4">
        <v>-36820.200000000004</v>
      </c>
      <c r="H4">
        <f>Table3[[#This Row],[Buy QTY]]-Table3[[#This Row],[Sell QTY]]</f>
        <v>945</v>
      </c>
    </row>
    <row r="5" spans="1:8">
      <c r="B5" t="s">
        <v>111</v>
      </c>
      <c r="C5">
        <v>3000</v>
      </c>
      <c r="D5">
        <v>7918.75</v>
      </c>
      <c r="G5">
        <v>-950250</v>
      </c>
      <c r="H5">
        <f>Table3[[#This Row],[Buy QTY]]-Table3[[#This Row],[Sell QTY]]</f>
        <v>3000</v>
      </c>
    </row>
    <row r="6" spans="1:8" hidden="1">
      <c r="B6" t="s">
        <v>91</v>
      </c>
      <c r="E6">
        <v>97</v>
      </c>
      <c r="F6">
        <v>57</v>
      </c>
      <c r="G6">
        <v>5529</v>
      </c>
      <c r="H6">
        <f>Table3[[#This Row],[Buy QTY]]-Table3[[#This Row],[Sell QTY]]</f>
        <v>-97</v>
      </c>
    </row>
    <row r="7" spans="1:8" hidden="1">
      <c r="B7" t="s">
        <v>107</v>
      </c>
      <c r="E7">
        <v>31</v>
      </c>
      <c r="F7">
        <v>17615.399999999998</v>
      </c>
      <c r="G7">
        <v>49641.200000000004</v>
      </c>
      <c r="H7">
        <f>Table3[[#This Row],[Buy QTY]]-Table3[[#This Row],[Sell QTY]]</f>
        <v>-31</v>
      </c>
    </row>
    <row r="8" spans="1:8">
      <c r="B8" t="s">
        <v>98</v>
      </c>
      <c r="C8">
        <v>2723</v>
      </c>
      <c r="D8">
        <v>45.58</v>
      </c>
      <c r="G8">
        <v>-30661.699999999997</v>
      </c>
      <c r="H8">
        <f>Table3[[#This Row],[Buy QTY]]-Table3[[#This Row],[Sell QTY]]</f>
        <v>2723</v>
      </c>
    </row>
    <row r="9" spans="1:8" hidden="1">
      <c r="B9" t="s">
        <v>19</v>
      </c>
      <c r="E9">
        <v>1</v>
      </c>
      <c r="F9">
        <v>7452.6499000000003</v>
      </c>
      <c r="G9">
        <v>7452.6499000000003</v>
      </c>
      <c r="H9">
        <f>Table3[[#This Row],[Buy QTY]]-Table3[[#This Row],[Sell QTY]]</f>
        <v>-1</v>
      </c>
    </row>
    <row r="10" spans="1:8" hidden="1">
      <c r="B10" t="s">
        <v>71</v>
      </c>
      <c r="E10">
        <v>42</v>
      </c>
      <c r="F10">
        <v>3815.3999999999992</v>
      </c>
      <c r="G10">
        <v>13353.899999999998</v>
      </c>
      <c r="H10">
        <f>Table3[[#This Row],[Buy QTY]]-Table3[[#This Row],[Sell QTY]]</f>
        <v>-42</v>
      </c>
    </row>
    <row r="11" spans="1:8" hidden="1">
      <c r="B11" t="s">
        <v>39</v>
      </c>
      <c r="E11">
        <v>37</v>
      </c>
      <c r="F11">
        <v>666.85</v>
      </c>
      <c r="G11">
        <v>24673.45</v>
      </c>
      <c r="H11">
        <f>Table3[[#This Row],[Buy QTY]]-Table3[[#This Row],[Sell QTY]]</f>
        <v>-37</v>
      </c>
    </row>
    <row r="12" spans="1:8" hidden="1">
      <c r="B12" t="s">
        <v>86</v>
      </c>
      <c r="E12">
        <v>1600</v>
      </c>
      <c r="F12">
        <v>75</v>
      </c>
      <c r="G12">
        <v>120000</v>
      </c>
      <c r="H12">
        <f>Table3[[#This Row],[Buy QTY]]-Table3[[#This Row],[Sell QTY]]</f>
        <v>-1600</v>
      </c>
    </row>
    <row r="13" spans="1:8">
      <c r="B13" t="s">
        <v>101</v>
      </c>
      <c r="C13">
        <v>57</v>
      </c>
      <c r="D13">
        <v>1897</v>
      </c>
      <c r="G13">
        <v>-54064.5</v>
      </c>
      <c r="H13">
        <f>Table3[[#This Row],[Buy QTY]]-Table3[[#This Row],[Sell QTY]]</f>
        <v>57</v>
      </c>
    </row>
    <row r="14" spans="1:8">
      <c r="B14" t="s">
        <v>110</v>
      </c>
      <c r="C14">
        <v>144</v>
      </c>
      <c r="D14">
        <v>55456</v>
      </c>
      <c r="G14">
        <v>-998208</v>
      </c>
      <c r="H14">
        <f>Table3[[#This Row],[Buy QTY]]-Table3[[#This Row],[Sell QTY]]</f>
        <v>144</v>
      </c>
    </row>
    <row r="15" spans="1:8">
      <c r="B15" t="s">
        <v>58</v>
      </c>
      <c r="C15">
        <v>1354</v>
      </c>
      <c r="D15">
        <v>12916.700000000003</v>
      </c>
      <c r="E15">
        <v>1254</v>
      </c>
      <c r="F15">
        <v>12538.449999999999</v>
      </c>
      <c r="G15">
        <v>-106776.24999999994</v>
      </c>
      <c r="H15">
        <f>Table3[[#This Row],[Buy QTY]]-Table3[[#This Row],[Sell QTY]]</f>
        <v>100</v>
      </c>
    </row>
    <row r="16" spans="1:8" hidden="1">
      <c r="B16" t="s">
        <v>96</v>
      </c>
      <c r="E16">
        <v>200</v>
      </c>
      <c r="F16">
        <v>59</v>
      </c>
      <c r="G16">
        <v>11800</v>
      </c>
      <c r="H16">
        <f>Table3[[#This Row],[Buy QTY]]-Table3[[#This Row],[Sell QTY]]</f>
        <v>-200</v>
      </c>
    </row>
    <row r="17" spans="2:8">
      <c r="B17" t="s">
        <v>64</v>
      </c>
      <c r="C17">
        <v>1625</v>
      </c>
      <c r="D17">
        <v>62.5</v>
      </c>
      <c r="G17">
        <v>-27857.5</v>
      </c>
      <c r="H17">
        <f>Table3[[#This Row],[Buy QTY]]-Table3[[#This Row],[Sell QTY]]</f>
        <v>1625</v>
      </c>
    </row>
    <row r="18" spans="2:8" hidden="1">
      <c r="B18" t="s">
        <v>5</v>
      </c>
      <c r="E18">
        <v>3000</v>
      </c>
      <c r="F18">
        <v>94.55</v>
      </c>
      <c r="G18">
        <v>57550</v>
      </c>
      <c r="H18">
        <f>Table3[[#This Row],[Buy QTY]]-Table3[[#This Row],[Sell QTY]]</f>
        <v>-3000</v>
      </c>
    </row>
    <row r="19" spans="2:8">
      <c r="B19" t="s">
        <v>52</v>
      </c>
      <c r="C19">
        <v>40</v>
      </c>
      <c r="D19">
        <v>33277</v>
      </c>
      <c r="G19">
        <v>-221847.5</v>
      </c>
      <c r="H19">
        <f>Table3[[#This Row],[Buy QTY]]-Table3[[#This Row],[Sell QTY]]</f>
        <v>40</v>
      </c>
    </row>
    <row r="20" spans="2:8">
      <c r="B20" t="s">
        <v>27</v>
      </c>
      <c r="C20">
        <v>556</v>
      </c>
      <c r="D20">
        <v>3980.3499999999995</v>
      </c>
      <c r="E20">
        <v>278</v>
      </c>
      <c r="F20">
        <v>1286.1500000000001</v>
      </c>
      <c r="G20">
        <v>-196880.05000000005</v>
      </c>
      <c r="H20">
        <f>Table3[[#This Row],[Buy QTY]]-Table3[[#This Row],[Sell QTY]]</f>
        <v>278</v>
      </c>
    </row>
    <row r="21" spans="2:8" hidden="1">
      <c r="B21" t="s">
        <v>20</v>
      </c>
      <c r="E21">
        <v>200</v>
      </c>
      <c r="F21">
        <v>18.899999999999999</v>
      </c>
      <c r="G21">
        <v>3779.9999999999995</v>
      </c>
      <c r="H21">
        <f>Table3[[#This Row],[Buy QTY]]-Table3[[#This Row],[Sell QTY]]</f>
        <v>-200</v>
      </c>
    </row>
    <row r="22" spans="2:8" hidden="1">
      <c r="B22" t="s">
        <v>99</v>
      </c>
      <c r="E22">
        <v>185</v>
      </c>
      <c r="F22">
        <v>150.1</v>
      </c>
      <c r="G22">
        <v>13884.25</v>
      </c>
      <c r="H22">
        <f>Table3[[#This Row],[Buy QTY]]-Table3[[#This Row],[Sell QTY]]</f>
        <v>-185</v>
      </c>
    </row>
    <row r="23" spans="2:8" hidden="1">
      <c r="B23" t="s">
        <v>59</v>
      </c>
      <c r="C23">
        <v>100</v>
      </c>
      <c r="D23">
        <v>4103.8999999999996</v>
      </c>
      <c r="E23">
        <v>100</v>
      </c>
      <c r="F23">
        <v>33081.200000000004</v>
      </c>
      <c r="G23">
        <v>1035.8999999999942</v>
      </c>
      <c r="H23">
        <f>Table3[[#This Row],[Buy QTY]]-Table3[[#This Row],[Sell QTY]]</f>
        <v>0</v>
      </c>
    </row>
    <row r="24" spans="2:8">
      <c r="B24" t="s">
        <v>56</v>
      </c>
      <c r="C24">
        <v>999</v>
      </c>
      <c r="D24">
        <v>4864.1999999999989</v>
      </c>
      <c r="G24">
        <v>-441757.80000000005</v>
      </c>
      <c r="H24">
        <f>Table3[[#This Row],[Buy QTY]]-Table3[[#This Row],[Sell QTY]]</f>
        <v>999</v>
      </c>
    </row>
    <row r="25" spans="2:8">
      <c r="B25" t="s">
        <v>34</v>
      </c>
      <c r="C25">
        <v>400</v>
      </c>
      <c r="D25">
        <v>7183.3</v>
      </c>
      <c r="G25">
        <v>-191555</v>
      </c>
      <c r="H25">
        <f>Table3[[#This Row],[Buy QTY]]-Table3[[#This Row],[Sell QTY]]</f>
        <v>400</v>
      </c>
    </row>
    <row r="26" spans="2:8">
      <c r="B26" t="s">
        <v>44</v>
      </c>
      <c r="C26">
        <v>205</v>
      </c>
      <c r="D26">
        <v>975</v>
      </c>
      <c r="G26">
        <v>-199875</v>
      </c>
      <c r="H26">
        <f>Table3[[#This Row],[Buy QTY]]-Table3[[#This Row],[Sell QTY]]</f>
        <v>205</v>
      </c>
    </row>
    <row r="27" spans="2:8">
      <c r="B27" t="s">
        <v>117</v>
      </c>
      <c r="C27">
        <v>75</v>
      </c>
      <c r="D27">
        <v>5500</v>
      </c>
      <c r="G27">
        <v>-206235</v>
      </c>
      <c r="H27">
        <f>Table3[[#This Row],[Buy QTY]]-Table3[[#This Row],[Sell QTY]]</f>
        <v>75</v>
      </c>
    </row>
    <row r="28" spans="2:8">
      <c r="B28" t="s">
        <v>24</v>
      </c>
      <c r="C28">
        <v>27</v>
      </c>
      <c r="D28">
        <v>10725</v>
      </c>
      <c r="G28">
        <v>-96835</v>
      </c>
      <c r="H28">
        <f>Table3[[#This Row],[Buy QTY]]-Table3[[#This Row],[Sell QTY]]</f>
        <v>27</v>
      </c>
    </row>
    <row r="29" spans="2:8" hidden="1">
      <c r="B29" t="s">
        <v>67</v>
      </c>
      <c r="C29">
        <v>40</v>
      </c>
      <c r="D29">
        <v>116</v>
      </c>
      <c r="E29">
        <v>556</v>
      </c>
      <c r="F29">
        <v>2512.4599999999996</v>
      </c>
      <c r="G29">
        <v>58856.159999999989</v>
      </c>
      <c r="H29">
        <f>Table3[[#This Row],[Buy QTY]]-Table3[[#This Row],[Sell QTY]]</f>
        <v>-516</v>
      </c>
    </row>
    <row r="30" spans="2:8">
      <c r="B30" t="s">
        <v>106</v>
      </c>
      <c r="C30">
        <v>2000</v>
      </c>
      <c r="D30">
        <v>393.4</v>
      </c>
      <c r="G30">
        <v>-196699.99999999997</v>
      </c>
      <c r="H30">
        <f>Table3[[#This Row],[Buy QTY]]-Table3[[#This Row],[Sell QTY]]</f>
        <v>2000</v>
      </c>
    </row>
    <row r="31" spans="2:8">
      <c r="B31" t="s">
        <v>47</v>
      </c>
      <c r="C31">
        <v>999</v>
      </c>
      <c r="D31">
        <v>217</v>
      </c>
      <c r="G31">
        <v>-216783</v>
      </c>
      <c r="H31">
        <f>Table3[[#This Row],[Buy QTY]]-Table3[[#This Row],[Sell QTY]]</f>
        <v>999</v>
      </c>
    </row>
    <row r="32" spans="2:8" hidden="1">
      <c r="B32" t="s">
        <v>75</v>
      </c>
      <c r="E32">
        <v>2600</v>
      </c>
      <c r="F32">
        <v>86.2</v>
      </c>
      <c r="G32">
        <v>13793</v>
      </c>
      <c r="H32">
        <f>Table3[[#This Row],[Buy QTY]]-Table3[[#This Row],[Sell QTY]]</f>
        <v>-2600</v>
      </c>
    </row>
    <row r="33" spans="2:8">
      <c r="B33" t="s">
        <v>14</v>
      </c>
      <c r="C33">
        <v>6</v>
      </c>
      <c r="D33">
        <v>1062.05</v>
      </c>
      <c r="G33">
        <v>-3186.15</v>
      </c>
      <c r="H33">
        <f>Table3[[#This Row],[Buy QTY]]-Table3[[#This Row],[Sell QTY]]</f>
        <v>6</v>
      </c>
    </row>
    <row r="34" spans="2:8">
      <c r="B34" t="s">
        <v>90</v>
      </c>
      <c r="C34">
        <v>3276</v>
      </c>
      <c r="D34">
        <v>9512.0499999999993</v>
      </c>
      <c r="G34">
        <v>-969723.95</v>
      </c>
      <c r="H34">
        <f>Table3[[#This Row],[Buy QTY]]-Table3[[#This Row],[Sell QTY]]</f>
        <v>3276</v>
      </c>
    </row>
    <row r="35" spans="2:8" hidden="1">
      <c r="B35" t="s">
        <v>88</v>
      </c>
      <c r="E35">
        <v>594</v>
      </c>
      <c r="F35">
        <v>4906.6500000000005</v>
      </c>
      <c r="G35">
        <v>323801.84999999998</v>
      </c>
      <c r="H35">
        <f>Table3[[#This Row],[Buy QTY]]-Table3[[#This Row],[Sell QTY]]</f>
        <v>-594</v>
      </c>
    </row>
    <row r="36" spans="2:8">
      <c r="B36" t="s">
        <v>49</v>
      </c>
      <c r="C36">
        <v>360</v>
      </c>
      <c r="D36">
        <v>4123.1499999999996</v>
      </c>
      <c r="G36">
        <v>-296979</v>
      </c>
      <c r="H36">
        <f>Table3[[#This Row],[Buy QTY]]-Table3[[#This Row],[Sell QTY]]</f>
        <v>360</v>
      </c>
    </row>
    <row r="37" spans="2:8" hidden="1">
      <c r="B37" t="s">
        <v>12</v>
      </c>
      <c r="E37">
        <v>504</v>
      </c>
      <c r="F37">
        <v>23131.499999999996</v>
      </c>
      <c r="G37">
        <v>832806.89999999991</v>
      </c>
      <c r="H37">
        <f>Table3[[#This Row],[Buy QTY]]-Table3[[#This Row],[Sell QTY]]</f>
        <v>-504</v>
      </c>
    </row>
    <row r="38" spans="2:8" hidden="1">
      <c r="B38" t="s">
        <v>9</v>
      </c>
      <c r="C38">
        <v>3000</v>
      </c>
      <c r="D38">
        <v>4824.75</v>
      </c>
      <c r="E38">
        <v>3000</v>
      </c>
      <c r="F38">
        <v>5148.9000000000005</v>
      </c>
      <c r="G38">
        <v>227399.99999999977</v>
      </c>
      <c r="H38">
        <f>Table3[[#This Row],[Buy QTY]]-Table3[[#This Row],[Sell QTY]]</f>
        <v>0</v>
      </c>
    </row>
    <row r="39" spans="2:8">
      <c r="B39" t="s">
        <v>38</v>
      </c>
      <c r="C39">
        <v>555</v>
      </c>
      <c r="D39">
        <v>17627.450000000004</v>
      </c>
      <c r="G39">
        <v>-160373.55000000002</v>
      </c>
      <c r="H39">
        <f>Table3[[#This Row],[Buy QTY]]-Table3[[#This Row],[Sell QTY]]</f>
        <v>555</v>
      </c>
    </row>
    <row r="40" spans="2:8">
      <c r="B40" t="s">
        <v>43</v>
      </c>
      <c r="C40">
        <v>370</v>
      </c>
      <c r="D40">
        <v>1304.75</v>
      </c>
      <c r="G40">
        <v>-123180.9</v>
      </c>
      <c r="H40">
        <f>Table3[[#This Row],[Buy QTY]]-Table3[[#This Row],[Sell QTY]]</f>
        <v>370</v>
      </c>
    </row>
    <row r="41" spans="2:8">
      <c r="B41" t="s">
        <v>15</v>
      </c>
      <c r="C41">
        <v>255</v>
      </c>
      <c r="D41">
        <v>14516.8999</v>
      </c>
      <c r="E41">
        <v>230</v>
      </c>
      <c r="F41">
        <v>56301.600200000008</v>
      </c>
      <c r="G41">
        <v>-96542.878700000001</v>
      </c>
      <c r="H41">
        <f>Table3[[#This Row],[Buy QTY]]-Table3[[#This Row],[Sell QTY]]</f>
        <v>25</v>
      </c>
    </row>
    <row r="42" spans="2:8">
      <c r="B42" t="s">
        <v>55</v>
      </c>
      <c r="C42">
        <v>166</v>
      </c>
      <c r="D42">
        <v>1219</v>
      </c>
      <c r="G42">
        <v>-202354</v>
      </c>
      <c r="H42">
        <f>Table3[[#This Row],[Buy QTY]]-Table3[[#This Row],[Sell QTY]]</f>
        <v>166</v>
      </c>
    </row>
    <row r="43" spans="2:8">
      <c r="B43" t="s">
        <v>10</v>
      </c>
      <c r="C43">
        <v>645</v>
      </c>
      <c r="D43">
        <v>346</v>
      </c>
      <c r="E43">
        <v>512</v>
      </c>
      <c r="F43">
        <v>900</v>
      </c>
      <c r="G43">
        <v>-69570</v>
      </c>
      <c r="H43">
        <f>Table3[[#This Row],[Buy QTY]]-Table3[[#This Row],[Sell QTY]]</f>
        <v>133</v>
      </c>
    </row>
    <row r="44" spans="2:8">
      <c r="B44" t="s">
        <v>116</v>
      </c>
      <c r="C44">
        <v>142</v>
      </c>
      <c r="D44">
        <v>10527.250000000002</v>
      </c>
      <c r="G44">
        <v>-99651.85</v>
      </c>
      <c r="H44">
        <f>Table3[[#This Row],[Buy QTY]]-Table3[[#This Row],[Sell QTY]]</f>
        <v>142</v>
      </c>
    </row>
    <row r="45" spans="2:8" hidden="1">
      <c r="B45" t="s">
        <v>21</v>
      </c>
      <c r="E45">
        <v>40</v>
      </c>
      <c r="F45">
        <v>1008.0799999999999</v>
      </c>
      <c r="G45">
        <v>10080.48</v>
      </c>
      <c r="H45">
        <f>Table3[[#This Row],[Buy QTY]]-Table3[[#This Row],[Sell QTY]]</f>
        <v>-40</v>
      </c>
    </row>
    <row r="46" spans="2:8" hidden="1">
      <c r="B46" t="s">
        <v>65</v>
      </c>
      <c r="E46">
        <v>32</v>
      </c>
      <c r="F46">
        <v>515</v>
      </c>
      <c r="G46">
        <v>16480</v>
      </c>
      <c r="H46">
        <f>Table3[[#This Row],[Buy QTY]]-Table3[[#This Row],[Sell QTY]]</f>
        <v>-32</v>
      </c>
    </row>
    <row r="47" spans="2:8">
      <c r="B47" t="s">
        <v>22</v>
      </c>
      <c r="C47">
        <v>310</v>
      </c>
      <c r="D47">
        <v>5553.3</v>
      </c>
      <c r="E47">
        <v>258</v>
      </c>
      <c r="F47">
        <v>3759.05</v>
      </c>
      <c r="G47">
        <v>-91892.35</v>
      </c>
      <c r="H47">
        <f>Table3[[#This Row],[Buy QTY]]-Table3[[#This Row],[Sell QTY]]</f>
        <v>52</v>
      </c>
    </row>
    <row r="48" spans="2:8" hidden="1">
      <c r="B48" t="s">
        <v>53</v>
      </c>
      <c r="E48">
        <v>378</v>
      </c>
      <c r="F48">
        <v>2466</v>
      </c>
      <c r="G48">
        <v>155358</v>
      </c>
      <c r="H48">
        <f>Table3[[#This Row],[Buy QTY]]-Table3[[#This Row],[Sell QTY]]</f>
        <v>-378</v>
      </c>
    </row>
    <row r="49" spans="2:8">
      <c r="B49" t="s">
        <v>31</v>
      </c>
      <c r="C49">
        <v>644</v>
      </c>
      <c r="D49">
        <v>2169.9499999999998</v>
      </c>
      <c r="G49">
        <v>-199639.75</v>
      </c>
      <c r="H49">
        <f>Table3[[#This Row],[Buy QTY]]-Table3[[#This Row],[Sell QTY]]</f>
        <v>644</v>
      </c>
    </row>
    <row r="50" spans="2:8" hidden="1">
      <c r="B50" t="s">
        <v>68</v>
      </c>
      <c r="E50">
        <v>188</v>
      </c>
      <c r="F50">
        <v>204.04</v>
      </c>
      <c r="G50">
        <v>9588.2799999999988</v>
      </c>
      <c r="H50">
        <f>Table3[[#This Row],[Buy QTY]]-Table3[[#This Row],[Sell QTY]]</f>
        <v>-188</v>
      </c>
    </row>
    <row r="51" spans="2:8">
      <c r="B51" t="s">
        <v>81</v>
      </c>
      <c r="C51">
        <v>237</v>
      </c>
      <c r="D51">
        <v>4901.05</v>
      </c>
      <c r="G51">
        <v>-139338.95000000001</v>
      </c>
      <c r="H51">
        <f>Table3[[#This Row],[Buy QTY]]-Table3[[#This Row],[Sell QTY]]</f>
        <v>237</v>
      </c>
    </row>
    <row r="52" spans="2:8">
      <c r="B52" t="s">
        <v>42</v>
      </c>
      <c r="C52">
        <v>144</v>
      </c>
      <c r="D52">
        <v>3030.6</v>
      </c>
      <c r="G52">
        <v>-63056</v>
      </c>
      <c r="H52">
        <f>Table3[[#This Row],[Buy QTY]]-Table3[[#This Row],[Sell QTY]]</f>
        <v>144</v>
      </c>
    </row>
    <row r="53" spans="2:8">
      <c r="B53" t="s">
        <v>57</v>
      </c>
      <c r="C53">
        <v>1000</v>
      </c>
      <c r="D53">
        <v>10780.619999999999</v>
      </c>
      <c r="E53">
        <v>400</v>
      </c>
      <c r="F53">
        <v>1772</v>
      </c>
      <c r="G53">
        <v>-492662.1</v>
      </c>
      <c r="H53">
        <f>Table3[[#This Row],[Buy QTY]]-Table3[[#This Row],[Sell QTY]]</f>
        <v>600</v>
      </c>
    </row>
    <row r="54" spans="2:8">
      <c r="B54" t="s">
        <v>37</v>
      </c>
      <c r="C54">
        <v>35</v>
      </c>
      <c r="D54">
        <v>8.1999999999999993</v>
      </c>
      <c r="G54">
        <v>-287</v>
      </c>
      <c r="H54">
        <f>Table3[[#This Row],[Buy QTY]]-Table3[[#This Row],[Sell QTY]]</f>
        <v>35</v>
      </c>
    </row>
    <row r="55" spans="2:8">
      <c r="B55" t="s">
        <v>92</v>
      </c>
      <c r="C55">
        <v>80</v>
      </c>
      <c r="D55">
        <v>508</v>
      </c>
      <c r="G55">
        <v>-40640</v>
      </c>
      <c r="H55">
        <f>Table3[[#This Row],[Buy QTY]]-Table3[[#This Row],[Sell QTY]]</f>
        <v>80</v>
      </c>
    </row>
    <row r="56" spans="2:8">
      <c r="B56" t="s">
        <v>61</v>
      </c>
      <c r="C56">
        <v>490</v>
      </c>
      <c r="D56">
        <v>1781</v>
      </c>
      <c r="G56">
        <v>-167950</v>
      </c>
      <c r="H56">
        <f>Table3[[#This Row],[Buy QTY]]-Table3[[#This Row],[Sell QTY]]</f>
        <v>490</v>
      </c>
    </row>
    <row r="57" spans="2:8" hidden="1">
      <c r="B57" t="s">
        <v>79</v>
      </c>
      <c r="E57">
        <v>97</v>
      </c>
      <c r="F57">
        <v>730</v>
      </c>
      <c r="G57">
        <v>70810</v>
      </c>
      <c r="H57">
        <f>Table3[[#This Row],[Buy QTY]]-Table3[[#This Row],[Sell QTY]]</f>
        <v>-97</v>
      </c>
    </row>
    <row r="58" spans="2:8" hidden="1">
      <c r="B58" t="s">
        <v>119</v>
      </c>
      <c r="E58">
        <v>1600</v>
      </c>
      <c r="F58">
        <v>71</v>
      </c>
      <c r="G58">
        <v>113600</v>
      </c>
      <c r="H58">
        <f>Table3[[#This Row],[Buy QTY]]-Table3[[#This Row],[Sell QTY]]</f>
        <v>-1600</v>
      </c>
    </row>
    <row r="59" spans="2:8">
      <c r="B59" t="s">
        <v>41</v>
      </c>
      <c r="C59">
        <v>133</v>
      </c>
      <c r="D59">
        <v>30429.5</v>
      </c>
      <c r="G59">
        <v>-505929.60259999998</v>
      </c>
      <c r="H59">
        <f>Table3[[#This Row],[Buy QTY]]-Table3[[#This Row],[Sell QTY]]</f>
        <v>133</v>
      </c>
    </row>
    <row r="60" spans="2:8">
      <c r="B60" t="s">
        <v>114</v>
      </c>
      <c r="C60">
        <v>314</v>
      </c>
      <c r="D60">
        <v>319</v>
      </c>
      <c r="G60">
        <v>-100166</v>
      </c>
      <c r="H60">
        <f>Table3[[#This Row],[Buy QTY]]-Table3[[#This Row],[Sell QTY]]</f>
        <v>314</v>
      </c>
    </row>
    <row r="61" spans="2:8">
      <c r="B61" t="s">
        <v>51</v>
      </c>
      <c r="C61">
        <v>456</v>
      </c>
      <c r="D61">
        <v>10362.999999999998</v>
      </c>
      <c r="E61">
        <v>156</v>
      </c>
      <c r="F61">
        <v>2073.1999999999998</v>
      </c>
      <c r="G61">
        <v>-418654.34999999992</v>
      </c>
      <c r="H61">
        <f>Table3[[#This Row],[Buy QTY]]-Table3[[#This Row],[Sell QTY]]</f>
        <v>300</v>
      </c>
    </row>
    <row r="62" spans="2:8" hidden="1">
      <c r="B62" t="s">
        <v>40</v>
      </c>
      <c r="E62">
        <v>2</v>
      </c>
      <c r="F62">
        <v>2454.3000000000002</v>
      </c>
      <c r="G62">
        <v>4908.6000000000004</v>
      </c>
      <c r="H62">
        <f>Table3[[#This Row],[Buy QTY]]-Table3[[#This Row],[Sell QTY]]</f>
        <v>-2</v>
      </c>
    </row>
    <row r="63" spans="2:8" hidden="1">
      <c r="B63" t="s">
        <v>23</v>
      </c>
      <c r="C63">
        <v>101</v>
      </c>
      <c r="D63">
        <v>2828.5</v>
      </c>
      <c r="E63">
        <v>149</v>
      </c>
      <c r="F63">
        <v>3532</v>
      </c>
      <c r="G63">
        <v>191860.59999999998</v>
      </c>
      <c r="H63">
        <f>Table3[[#This Row],[Buy QTY]]-Table3[[#This Row],[Sell QTY]]</f>
        <v>-48</v>
      </c>
    </row>
    <row r="64" spans="2:8" hidden="1">
      <c r="B64" t="s">
        <v>70</v>
      </c>
      <c r="E64">
        <v>1600</v>
      </c>
      <c r="F64">
        <v>90.8</v>
      </c>
      <c r="G64">
        <v>145280</v>
      </c>
      <c r="H64">
        <f>Table3[[#This Row],[Buy QTY]]-Table3[[#This Row],[Sell QTY]]</f>
        <v>-1600</v>
      </c>
    </row>
    <row r="65" spans="2:8" hidden="1">
      <c r="B65" t="s">
        <v>78</v>
      </c>
      <c r="E65">
        <v>526</v>
      </c>
      <c r="F65">
        <v>8.75</v>
      </c>
      <c r="G65">
        <v>4602.5</v>
      </c>
      <c r="H65">
        <f>Table3[[#This Row],[Buy QTY]]-Table3[[#This Row],[Sell QTY]]</f>
        <v>-526</v>
      </c>
    </row>
    <row r="66" spans="2:8">
      <c r="B66" t="s">
        <v>102</v>
      </c>
      <c r="C66">
        <v>124</v>
      </c>
      <c r="D66">
        <v>22.7</v>
      </c>
      <c r="G66">
        <v>-930.2</v>
      </c>
      <c r="H66">
        <f>Table3[[#This Row],[Buy QTY]]-Table3[[#This Row],[Sell QTY]]</f>
        <v>124</v>
      </c>
    </row>
    <row r="67" spans="2:8">
      <c r="B67" t="s">
        <v>16</v>
      </c>
      <c r="C67">
        <v>875</v>
      </c>
      <c r="D67">
        <v>3582.5</v>
      </c>
      <c r="G67">
        <v>-313468.75</v>
      </c>
      <c r="H67">
        <f>Table3[[#This Row],[Buy QTY]]-Table3[[#This Row],[Sell QTY]]</f>
        <v>875</v>
      </c>
    </row>
    <row r="68" spans="2:8">
      <c r="B68" t="s">
        <v>13</v>
      </c>
      <c r="C68">
        <v>260</v>
      </c>
      <c r="D68">
        <v>6914.7999999999993</v>
      </c>
      <c r="E68">
        <v>51</v>
      </c>
      <c r="F68">
        <v>2008</v>
      </c>
      <c r="G68">
        <v>-219316.40000000002</v>
      </c>
      <c r="H68">
        <f>Table3[[#This Row],[Buy QTY]]-Table3[[#This Row],[Sell QTY]]</f>
        <v>209</v>
      </c>
    </row>
    <row r="69" spans="2:8">
      <c r="B69" t="s">
        <v>77</v>
      </c>
      <c r="C69">
        <v>365</v>
      </c>
      <c r="D69">
        <v>2690.95</v>
      </c>
      <c r="G69">
        <v>-85322.499999999985</v>
      </c>
      <c r="H69">
        <f>Table3[[#This Row],[Buy QTY]]-Table3[[#This Row],[Sell QTY]]</f>
        <v>365</v>
      </c>
    </row>
    <row r="70" spans="2:8">
      <c r="B70" t="s">
        <v>30</v>
      </c>
      <c r="C70">
        <v>1769</v>
      </c>
      <c r="D70">
        <v>1142.9000000000001</v>
      </c>
      <c r="E70">
        <v>410</v>
      </c>
      <c r="F70">
        <v>333</v>
      </c>
      <c r="G70">
        <v>-191318.39999999999</v>
      </c>
      <c r="H70">
        <f>Table3[[#This Row],[Buy QTY]]-Table3[[#This Row],[Sell QTY]]</f>
        <v>1359</v>
      </c>
    </row>
    <row r="71" spans="2:8" hidden="1">
      <c r="B71" t="s">
        <v>105</v>
      </c>
      <c r="E71">
        <v>35</v>
      </c>
      <c r="F71">
        <v>1158.2</v>
      </c>
      <c r="G71">
        <v>40537</v>
      </c>
      <c r="H71">
        <f>Table3[[#This Row],[Buy QTY]]-Table3[[#This Row],[Sell QTY]]</f>
        <v>-35</v>
      </c>
    </row>
    <row r="72" spans="2:8" hidden="1">
      <c r="B72" t="s">
        <v>76</v>
      </c>
      <c r="E72">
        <v>49</v>
      </c>
      <c r="F72">
        <v>107</v>
      </c>
      <c r="G72">
        <v>5243</v>
      </c>
      <c r="H72">
        <f>Table3[[#This Row],[Buy QTY]]-Table3[[#This Row],[Sell QTY]]</f>
        <v>-49</v>
      </c>
    </row>
    <row r="73" spans="2:8">
      <c r="B73" t="s">
        <v>103</v>
      </c>
      <c r="C73">
        <v>457</v>
      </c>
      <c r="D73">
        <v>344</v>
      </c>
      <c r="G73">
        <v>-39302</v>
      </c>
      <c r="H73">
        <f>Table3[[#This Row],[Buy QTY]]-Table3[[#This Row],[Sell QTY]]</f>
        <v>457</v>
      </c>
    </row>
    <row r="74" spans="2:8" hidden="1">
      <c r="B74" t="s">
        <v>89</v>
      </c>
      <c r="E74">
        <v>49</v>
      </c>
      <c r="F74">
        <v>39.9</v>
      </c>
      <c r="G74">
        <v>1955.1</v>
      </c>
      <c r="H74">
        <f>Table3[[#This Row],[Buy QTY]]-Table3[[#This Row],[Sell QTY]]</f>
        <v>-49</v>
      </c>
    </row>
    <row r="75" spans="2:8">
      <c r="B75" t="s">
        <v>87</v>
      </c>
      <c r="C75">
        <v>1735</v>
      </c>
      <c r="D75">
        <v>323</v>
      </c>
      <c r="G75">
        <v>-80777.700000000012</v>
      </c>
      <c r="H75">
        <f>Table3[[#This Row],[Buy QTY]]-Table3[[#This Row],[Sell QTY]]</f>
        <v>1735</v>
      </c>
    </row>
    <row r="76" spans="2:8" hidden="1">
      <c r="B76" t="s">
        <v>73</v>
      </c>
      <c r="E76">
        <v>921</v>
      </c>
      <c r="F76">
        <v>512.5</v>
      </c>
      <c r="G76">
        <v>18880.5</v>
      </c>
      <c r="H76">
        <f>Table3[[#This Row],[Buy QTY]]-Table3[[#This Row],[Sell QTY]]</f>
        <v>-921</v>
      </c>
    </row>
    <row r="77" spans="2:8">
      <c r="B77" t="s">
        <v>50</v>
      </c>
      <c r="C77">
        <v>1555</v>
      </c>
      <c r="D77">
        <v>107</v>
      </c>
      <c r="G77">
        <v>-166385</v>
      </c>
      <c r="H77">
        <f>Table3[[#This Row],[Buy QTY]]-Table3[[#This Row],[Sell QTY]]</f>
        <v>1555</v>
      </c>
    </row>
    <row r="78" spans="2:8" hidden="1">
      <c r="B78" t="s">
        <v>35</v>
      </c>
      <c r="E78">
        <v>100</v>
      </c>
      <c r="F78">
        <v>746.2</v>
      </c>
      <c r="G78">
        <v>74620</v>
      </c>
      <c r="H78">
        <f>Table3[[#This Row],[Buy QTY]]-Table3[[#This Row],[Sell QTY]]</f>
        <v>-100</v>
      </c>
    </row>
    <row r="79" spans="2:8">
      <c r="B79" t="s">
        <v>7</v>
      </c>
      <c r="C79">
        <v>158</v>
      </c>
      <c r="D79">
        <v>5133.3</v>
      </c>
      <c r="G79">
        <v>-126499.35</v>
      </c>
      <c r="H79">
        <f>Table3[[#This Row],[Buy QTY]]-Table3[[#This Row],[Sell QTY]]</f>
        <v>158</v>
      </c>
    </row>
    <row r="80" spans="2:8" hidden="1">
      <c r="B80" t="s">
        <v>93</v>
      </c>
      <c r="E80">
        <v>1000</v>
      </c>
      <c r="F80">
        <v>20.51</v>
      </c>
      <c r="G80">
        <v>20510</v>
      </c>
      <c r="H80">
        <f>Table3[[#This Row],[Buy QTY]]-Table3[[#This Row],[Sell QTY]]</f>
        <v>-1000</v>
      </c>
    </row>
    <row r="81" spans="2:8">
      <c r="B81" t="s">
        <v>17</v>
      </c>
      <c r="C81">
        <v>600</v>
      </c>
      <c r="D81">
        <v>1251</v>
      </c>
      <c r="G81">
        <v>-250200</v>
      </c>
      <c r="H81">
        <f>Table3[[#This Row],[Buy QTY]]-Table3[[#This Row],[Sell QTY]]</f>
        <v>600</v>
      </c>
    </row>
    <row r="82" spans="2:8">
      <c r="B82" t="s">
        <v>25</v>
      </c>
      <c r="C82">
        <v>760</v>
      </c>
      <c r="D82">
        <v>788.98</v>
      </c>
      <c r="G82">
        <v>-199875.7</v>
      </c>
      <c r="H82">
        <f>Table3[[#This Row],[Buy QTY]]-Table3[[#This Row],[Sell QTY]]</f>
        <v>760</v>
      </c>
    </row>
    <row r="83" spans="2:8">
      <c r="B83" t="s">
        <v>36</v>
      </c>
      <c r="C83">
        <v>14232</v>
      </c>
      <c r="D83">
        <v>212.29000000000002</v>
      </c>
      <c r="G83">
        <v>-292121.36</v>
      </c>
      <c r="H83">
        <f>Table3[[#This Row],[Buy QTY]]-Table3[[#This Row],[Sell QTY]]</f>
        <v>14232</v>
      </c>
    </row>
    <row r="84" spans="2:8" hidden="1">
      <c r="B84" t="s">
        <v>66</v>
      </c>
      <c r="E84">
        <v>20</v>
      </c>
      <c r="F84">
        <v>452</v>
      </c>
      <c r="G84">
        <v>9040</v>
      </c>
      <c r="H84">
        <f>Table3[[#This Row],[Buy QTY]]-Table3[[#This Row],[Sell QTY]]</f>
        <v>-20</v>
      </c>
    </row>
    <row r="85" spans="2:8" hidden="1">
      <c r="B85" t="s">
        <v>72</v>
      </c>
      <c r="E85">
        <v>10</v>
      </c>
      <c r="F85">
        <v>130</v>
      </c>
      <c r="G85">
        <v>1300</v>
      </c>
      <c r="H85">
        <f>Table3[[#This Row],[Buy QTY]]-Table3[[#This Row],[Sell QTY]]</f>
        <v>-10</v>
      </c>
    </row>
    <row r="86" spans="2:8" hidden="1">
      <c r="B86" t="s">
        <v>95</v>
      </c>
      <c r="E86">
        <v>169</v>
      </c>
      <c r="F86">
        <v>1001.15</v>
      </c>
      <c r="G86">
        <v>42295.65</v>
      </c>
      <c r="H86">
        <f>Table3[[#This Row],[Buy QTY]]-Table3[[#This Row],[Sell QTY]]</f>
        <v>-169</v>
      </c>
    </row>
    <row r="87" spans="2:8">
      <c r="B87" t="s">
        <v>115</v>
      </c>
      <c r="C87">
        <v>540</v>
      </c>
      <c r="D87">
        <v>929.75</v>
      </c>
      <c r="G87">
        <v>-100412.99999999999</v>
      </c>
      <c r="H87">
        <f>Table3[[#This Row],[Buy QTY]]-Table3[[#This Row],[Sell QTY]]</f>
        <v>540</v>
      </c>
    </row>
    <row r="88" spans="2:8" hidden="1">
      <c r="B88" t="s">
        <v>32</v>
      </c>
      <c r="C88">
        <v>2855</v>
      </c>
      <c r="D88">
        <v>12566.899999999996</v>
      </c>
      <c r="E88">
        <v>5710</v>
      </c>
      <c r="F88">
        <v>1156</v>
      </c>
      <c r="G88">
        <v>815945.19999999972</v>
      </c>
      <c r="H88">
        <f>Table3[[#This Row],[Buy QTY]]-Table3[[#This Row],[Sell QTY]]</f>
        <v>-2855</v>
      </c>
    </row>
    <row r="89" spans="2:8">
      <c r="B89" t="s">
        <v>100</v>
      </c>
      <c r="C89">
        <v>1624</v>
      </c>
      <c r="D89">
        <v>223.45</v>
      </c>
      <c r="G89">
        <v>-75184.3</v>
      </c>
      <c r="H89">
        <f>Table3[[#This Row],[Buy QTY]]-Table3[[#This Row],[Sell QTY]]</f>
        <v>1624</v>
      </c>
    </row>
    <row r="90" spans="2:8" hidden="1">
      <c r="B90" t="s">
        <v>109</v>
      </c>
      <c r="E90">
        <v>1503</v>
      </c>
      <c r="F90">
        <v>118.19999999999999</v>
      </c>
      <c r="G90">
        <v>59218.2</v>
      </c>
      <c r="H90">
        <f>Table3[[#This Row],[Buy QTY]]-Table3[[#This Row],[Sell QTY]]</f>
        <v>-1503</v>
      </c>
    </row>
    <row r="91" spans="2:8" hidden="1">
      <c r="B91" t="s">
        <v>108</v>
      </c>
      <c r="E91">
        <v>2177</v>
      </c>
      <c r="F91">
        <v>73.53</v>
      </c>
      <c r="G91">
        <v>53360.4</v>
      </c>
      <c r="H91">
        <f>Table3[[#This Row],[Buy QTY]]-Table3[[#This Row],[Sell QTY]]</f>
        <v>-2177</v>
      </c>
    </row>
    <row r="92" spans="2:8">
      <c r="B92" t="s">
        <v>84</v>
      </c>
      <c r="C92">
        <v>2169</v>
      </c>
      <c r="D92">
        <v>914.9</v>
      </c>
      <c r="G92">
        <v>-386307</v>
      </c>
      <c r="H92">
        <f>Table3[[#This Row],[Buy QTY]]-Table3[[#This Row],[Sell QTY]]</f>
        <v>2169</v>
      </c>
    </row>
    <row r="93" spans="2:8">
      <c r="B93" t="s">
        <v>18</v>
      </c>
      <c r="C93">
        <v>600</v>
      </c>
      <c r="D93">
        <v>357</v>
      </c>
      <c r="G93">
        <v>-214200</v>
      </c>
      <c r="H93">
        <f>Table3[[#This Row],[Buy QTY]]-Table3[[#This Row],[Sell QTY]]</f>
        <v>600</v>
      </c>
    </row>
    <row r="94" spans="2:8" hidden="1">
      <c r="B94" t="s">
        <v>94</v>
      </c>
      <c r="E94">
        <v>3424</v>
      </c>
      <c r="F94">
        <v>3.19</v>
      </c>
      <c r="G94">
        <v>10922.56</v>
      </c>
      <c r="H94">
        <f>Table3[[#This Row],[Buy QTY]]-Table3[[#This Row],[Sell QTY]]</f>
        <v>-3424</v>
      </c>
    </row>
    <row r="95" spans="2:8" hidden="1">
      <c r="B95" t="s">
        <v>74</v>
      </c>
      <c r="E95">
        <v>4000</v>
      </c>
      <c r="F95">
        <v>29</v>
      </c>
      <c r="G95">
        <v>116000</v>
      </c>
      <c r="H95">
        <f>Table3[[#This Row],[Buy QTY]]-Table3[[#This Row],[Sell QTY]]</f>
        <v>-4000</v>
      </c>
    </row>
    <row r="96" spans="2:8" hidden="1">
      <c r="B96" t="s">
        <v>80</v>
      </c>
      <c r="E96">
        <v>224</v>
      </c>
      <c r="F96">
        <v>89.8</v>
      </c>
      <c r="G96">
        <v>20115.2</v>
      </c>
      <c r="H96">
        <f>Table3[[#This Row],[Buy QTY]]-Table3[[#This Row],[Sell QTY]]</f>
        <v>-224</v>
      </c>
    </row>
    <row r="97" spans="2:8" hidden="1">
      <c r="B97" t="s">
        <v>48</v>
      </c>
      <c r="C97">
        <v>288</v>
      </c>
      <c r="D97">
        <v>1386</v>
      </c>
      <c r="E97">
        <v>288</v>
      </c>
      <c r="F97">
        <v>482</v>
      </c>
      <c r="G97">
        <v>5760</v>
      </c>
      <c r="H97">
        <f>Table3[[#This Row],[Buy QTY]]-Table3[[#This Row],[Sell QTY]]</f>
        <v>0</v>
      </c>
    </row>
    <row r="98" spans="2:8">
      <c r="B98" t="s">
        <v>33</v>
      </c>
      <c r="C98">
        <v>12500</v>
      </c>
      <c r="D98">
        <v>23.98</v>
      </c>
      <c r="G98">
        <v>-99906.390000000014</v>
      </c>
      <c r="H98">
        <f>Table3[[#This Row],[Buy QTY]]-Table3[[#This Row],[Sell QTY]]</f>
        <v>12500</v>
      </c>
    </row>
    <row r="99" spans="2:8">
      <c r="B99" t="s">
        <v>104</v>
      </c>
      <c r="C99">
        <v>638</v>
      </c>
      <c r="D99">
        <v>93.75</v>
      </c>
      <c r="G99">
        <v>-59812.5</v>
      </c>
      <c r="H99">
        <f>Table3[[#This Row],[Buy QTY]]-Table3[[#This Row],[Sell QTY]]</f>
        <v>638</v>
      </c>
    </row>
    <row r="100" spans="2:8">
      <c r="B100" t="s">
        <v>118</v>
      </c>
      <c r="C100">
        <v>93</v>
      </c>
      <c r="D100">
        <v>1065</v>
      </c>
      <c r="G100">
        <v>-99045</v>
      </c>
      <c r="H100">
        <f>Table3[[#This Row],[Buy QTY]]-Table3[[#This Row],[Sell QTY]]</f>
        <v>93</v>
      </c>
    </row>
    <row r="101" spans="2:8">
      <c r="B101" t="s">
        <v>112</v>
      </c>
      <c r="C101">
        <v>303</v>
      </c>
      <c r="D101">
        <v>19693.199999999997</v>
      </c>
      <c r="G101">
        <v>-497253.30000000005</v>
      </c>
      <c r="H101">
        <f>Table3[[#This Row],[Buy QTY]]-Table3[[#This Row],[Sell QTY]]</f>
        <v>303</v>
      </c>
    </row>
    <row r="102" spans="2:8">
      <c r="B102" t="s">
        <v>29</v>
      </c>
      <c r="C102">
        <v>892</v>
      </c>
      <c r="D102">
        <v>896</v>
      </c>
      <c r="G102">
        <v>-199808</v>
      </c>
      <c r="H102">
        <f>Table3[[#This Row],[Buy QTY]]-Table3[[#This Row],[Sell QTY]]</f>
        <v>892</v>
      </c>
    </row>
    <row r="103" spans="2:8">
      <c r="B103" t="s">
        <v>85</v>
      </c>
      <c r="C103">
        <v>275</v>
      </c>
      <c r="D103">
        <v>94.5</v>
      </c>
      <c r="G103">
        <v>-25987.5</v>
      </c>
      <c r="H103">
        <f>Table3[[#This Row],[Buy QTY]]-Table3[[#This Row],[Sell QTY]]</f>
        <v>275</v>
      </c>
    </row>
    <row r="104" spans="2:8" hidden="1">
      <c r="B104" t="s">
        <v>26</v>
      </c>
      <c r="C104">
        <v>313</v>
      </c>
      <c r="D104">
        <v>1139.9000000000001</v>
      </c>
      <c r="E104">
        <v>313</v>
      </c>
      <c r="F104">
        <v>483</v>
      </c>
      <c r="G104">
        <v>-27228.399999999994</v>
      </c>
      <c r="H104">
        <f>Table3[[#This Row],[Buy QTY]]-Table3[[#This Row],[Sell QTY]]</f>
        <v>0</v>
      </c>
    </row>
    <row r="105" spans="2:8">
      <c r="B105" t="s">
        <v>45</v>
      </c>
      <c r="C105">
        <v>650</v>
      </c>
      <c r="D105">
        <v>15138.5</v>
      </c>
      <c r="G105">
        <v>-828075</v>
      </c>
      <c r="H105">
        <f>Table3[[#This Row],[Buy QTY]]-Table3[[#This Row],[Sell QTY]]</f>
        <v>650</v>
      </c>
    </row>
    <row r="106" spans="2:8">
      <c r="B106" t="s">
        <v>82</v>
      </c>
      <c r="C106">
        <v>3000</v>
      </c>
      <c r="D106">
        <v>17.149999999999999</v>
      </c>
      <c r="G106">
        <v>-51449.999999999993</v>
      </c>
      <c r="H106">
        <f>Table3[[#This Row],[Buy QTY]]-Table3[[#This Row],[Sell QTY]]</f>
        <v>3000</v>
      </c>
    </row>
    <row r="107" spans="2:8" hidden="1">
      <c r="B107" t="s">
        <v>69</v>
      </c>
      <c r="E107">
        <v>200</v>
      </c>
      <c r="F107">
        <v>369.9</v>
      </c>
      <c r="G107">
        <v>10608.549999999997</v>
      </c>
      <c r="H107">
        <f>Table3[[#This Row],[Buy QTY]]-Table3[[#This Row],[Sell QTY]]</f>
        <v>-200</v>
      </c>
    </row>
    <row r="108" spans="2:8">
      <c r="B108" t="s">
        <v>83</v>
      </c>
      <c r="C108">
        <v>1765</v>
      </c>
      <c r="D108">
        <v>687.1</v>
      </c>
      <c r="G108">
        <v>-222262</v>
      </c>
      <c r="H108">
        <f>Table3[[#This Row],[Buy QTY]]-Table3[[#This Row],[Sell QTY]]</f>
        <v>1765</v>
      </c>
    </row>
    <row r="109" spans="2:8">
      <c r="B109" t="s">
        <v>54</v>
      </c>
      <c r="C109">
        <v>637</v>
      </c>
      <c r="D109">
        <v>33447.000000000007</v>
      </c>
      <c r="G109">
        <v>-540740.45000000019</v>
      </c>
      <c r="H109">
        <f>Table3[[#This Row],[Buy QTY]]-Table3[[#This Row],[Sell QTY]]</f>
        <v>637</v>
      </c>
    </row>
    <row r="110" spans="2:8">
      <c r="B110" t="s">
        <v>63</v>
      </c>
      <c r="C110">
        <v>800</v>
      </c>
      <c r="D110">
        <v>295</v>
      </c>
      <c r="G110">
        <v>-236000</v>
      </c>
      <c r="H110">
        <f>Table3[[#This Row],[Buy QTY]]-Table3[[#This Row],[Sell QTY]]</f>
        <v>800</v>
      </c>
    </row>
    <row r="111" spans="2:8">
      <c r="B111" t="s">
        <v>113</v>
      </c>
      <c r="C111">
        <v>2500</v>
      </c>
      <c r="D111">
        <v>268.11</v>
      </c>
      <c r="G111">
        <v>-95753.309999999983</v>
      </c>
      <c r="H111">
        <f>Table3[[#This Row],[Buy QTY]]-Table3[[#This Row],[Sell QTY]]</f>
        <v>2500</v>
      </c>
    </row>
    <row r="112" spans="2:8">
      <c r="B112" t="s">
        <v>62</v>
      </c>
      <c r="C112">
        <v>15000</v>
      </c>
      <c r="D112">
        <v>20.6</v>
      </c>
      <c r="G112">
        <v>-154500</v>
      </c>
      <c r="H112">
        <f>Table3[[#This Row],[Buy QTY]]-Table3[[#This Row],[Sell QTY]]</f>
        <v>15000</v>
      </c>
    </row>
    <row r="113" spans="2:8">
      <c r="B113" t="s">
        <v>60</v>
      </c>
      <c r="C113">
        <v>666</v>
      </c>
      <c r="D113">
        <v>310</v>
      </c>
      <c r="G113">
        <v>-206460</v>
      </c>
      <c r="H113">
        <f>Table3[[#This Row],[Buy QTY]]-Table3[[#This Row],[Sell QTY]]</f>
        <v>666</v>
      </c>
    </row>
    <row r="114" spans="2:8" hidden="1">
      <c r="B114" t="s">
        <v>11</v>
      </c>
      <c r="E114">
        <v>1044</v>
      </c>
      <c r="F114">
        <v>5375</v>
      </c>
      <c r="G114">
        <v>1122300</v>
      </c>
      <c r="H114">
        <f>Table3[[#This Row],[Buy QTY]]-Table3[[#This Row],[Sell QTY]]</f>
        <v>-1044</v>
      </c>
    </row>
    <row r="115" spans="2:8">
      <c r="B115" t="s">
        <v>46</v>
      </c>
      <c r="C115">
        <v>50800</v>
      </c>
      <c r="D115">
        <v>340.99000000000007</v>
      </c>
      <c r="E115">
        <v>25400</v>
      </c>
      <c r="F115">
        <v>18.100000000000001</v>
      </c>
      <c r="G115">
        <v>-620265.46</v>
      </c>
      <c r="H115">
        <f>Table3[[#This Row],[Buy QTY]]-Table3[[#This Row],[Sell QTY]]</f>
        <v>25400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B16E-C9A1-48B5-8E43-9E977987275A}">
  <dimension ref="B2:G70"/>
  <sheetViews>
    <sheetView showGridLines="0" zoomScale="101" workbookViewId="0">
      <selection activeCell="D3" sqref="D3"/>
    </sheetView>
  </sheetViews>
  <sheetFormatPr defaultRowHeight="14.25"/>
  <cols>
    <col min="1" max="1" width="1.73046875" customWidth="1"/>
    <col min="2" max="5" width="12.59765625" customWidth="1"/>
    <col min="6" max="6" width="25.6640625" bestFit="1" customWidth="1"/>
    <col min="7" max="7" width="12.59765625" customWidth="1"/>
  </cols>
  <sheetData>
    <row r="2" spans="2:7">
      <c r="B2" s="16" t="s">
        <v>121</v>
      </c>
      <c r="C2" s="17" t="s">
        <v>124</v>
      </c>
      <c r="D2" s="17" t="s">
        <v>125</v>
      </c>
      <c r="E2" s="17" t="s">
        <v>126</v>
      </c>
      <c r="F2" s="17" t="s">
        <v>131</v>
      </c>
      <c r="G2" s="17" t="s">
        <v>126</v>
      </c>
    </row>
    <row r="3" spans="2:7">
      <c r="B3" t="s">
        <v>28</v>
      </c>
      <c r="C3" s="4">
        <v>34</v>
      </c>
      <c r="D3" s="6">
        <f>E3/C3</f>
        <v>-5753</v>
      </c>
      <c r="E3" s="4">
        <v>-195602</v>
      </c>
      <c r="F3" s="4">
        <v>6182.5</v>
      </c>
      <c r="G3" s="22">
        <f>F3*C3</f>
        <v>210205</v>
      </c>
    </row>
    <row r="4" spans="2:7">
      <c r="B4" t="s">
        <v>97</v>
      </c>
      <c r="C4" s="4">
        <v>945</v>
      </c>
      <c r="D4" s="6">
        <f t="shared" ref="D4:D67" si="0">E4/C4</f>
        <v>-38.963174603174608</v>
      </c>
      <c r="E4" s="4">
        <v>-36820.200000000004</v>
      </c>
      <c r="F4" s="4">
        <v>118.4</v>
      </c>
      <c r="G4" s="22">
        <f t="shared" ref="G4:G67" si="1">F4*C4</f>
        <v>111888</v>
      </c>
    </row>
    <row r="5" spans="2:7">
      <c r="B5" t="s">
        <v>111</v>
      </c>
      <c r="C5" s="4">
        <v>3000</v>
      </c>
      <c r="D5" s="6">
        <f t="shared" si="0"/>
        <v>-316.75</v>
      </c>
      <c r="E5" s="4">
        <v>-950250</v>
      </c>
      <c r="F5" s="4">
        <v>64.849999999999994</v>
      </c>
      <c r="G5" s="22">
        <f t="shared" si="1"/>
        <v>194549.99999999997</v>
      </c>
    </row>
    <row r="6" spans="2:7">
      <c r="B6" t="s">
        <v>98</v>
      </c>
      <c r="C6" s="4">
        <v>2723</v>
      </c>
      <c r="D6" s="6">
        <f t="shared" si="0"/>
        <v>-11.260264414248988</v>
      </c>
      <c r="E6" s="4">
        <v>-30661.699999999997</v>
      </c>
      <c r="F6" s="4">
        <v>145.19999999999999</v>
      </c>
      <c r="G6" s="22">
        <f t="shared" si="1"/>
        <v>395379.6</v>
      </c>
    </row>
    <row r="7" spans="2:7">
      <c r="B7" t="s">
        <v>101</v>
      </c>
      <c r="C7" s="4">
        <v>57</v>
      </c>
      <c r="D7" s="6">
        <f t="shared" si="0"/>
        <v>-948.5</v>
      </c>
      <c r="E7" s="4">
        <v>-54064.5</v>
      </c>
      <c r="F7" s="4">
        <v>1255.8</v>
      </c>
      <c r="G7" s="22">
        <f t="shared" si="1"/>
        <v>71580.599999999991</v>
      </c>
    </row>
    <row r="8" spans="2:7">
      <c r="B8" t="s">
        <v>110</v>
      </c>
      <c r="C8" s="4">
        <v>144</v>
      </c>
      <c r="D8" s="6">
        <f t="shared" si="0"/>
        <v>-6932</v>
      </c>
      <c r="E8" s="4">
        <v>-998208</v>
      </c>
      <c r="F8" s="4">
        <v>6842.3</v>
      </c>
      <c r="G8" s="22">
        <f t="shared" si="1"/>
        <v>985291.20000000007</v>
      </c>
    </row>
    <row r="9" spans="2:7">
      <c r="B9" t="s">
        <v>58</v>
      </c>
      <c r="C9" s="4">
        <v>100</v>
      </c>
      <c r="D9" s="6">
        <f t="shared" si="0"/>
        <v>-1067.7624999999994</v>
      </c>
      <c r="E9" s="4">
        <v>-106776.24999999994</v>
      </c>
      <c r="F9" s="4">
        <v>1672.4</v>
      </c>
      <c r="G9" s="22">
        <f t="shared" si="1"/>
        <v>167240</v>
      </c>
    </row>
    <row r="10" spans="2:7">
      <c r="B10" t="s">
        <v>64</v>
      </c>
      <c r="C10" s="4">
        <v>1625</v>
      </c>
      <c r="D10" s="6">
        <f t="shared" si="0"/>
        <v>-17.143076923076922</v>
      </c>
      <c r="E10" s="4">
        <v>-27857.5</v>
      </c>
      <c r="F10" s="4">
        <v>98.75</v>
      </c>
      <c r="G10" s="22">
        <f t="shared" si="1"/>
        <v>160468.75</v>
      </c>
    </row>
    <row r="11" spans="2:7">
      <c r="B11" t="s">
        <v>52</v>
      </c>
      <c r="C11" s="4">
        <v>40</v>
      </c>
      <c r="D11" s="6">
        <f t="shared" si="0"/>
        <v>-5546.1875</v>
      </c>
      <c r="E11" s="4">
        <v>-221847.5</v>
      </c>
      <c r="F11" s="4">
        <v>5012.6000000000004</v>
      </c>
      <c r="G11" s="22">
        <f t="shared" si="1"/>
        <v>200504</v>
      </c>
    </row>
    <row r="12" spans="2:7">
      <c r="B12" t="s">
        <v>27</v>
      </c>
      <c r="C12" s="4">
        <v>278</v>
      </c>
      <c r="D12" s="6">
        <f t="shared" si="0"/>
        <v>-708.20161870503614</v>
      </c>
      <c r="E12" s="4">
        <v>-196880.05000000005</v>
      </c>
      <c r="F12" s="4">
        <v>2782.15</v>
      </c>
      <c r="G12" s="22">
        <f t="shared" si="1"/>
        <v>773437.70000000007</v>
      </c>
    </row>
    <row r="13" spans="2:7">
      <c r="B13" t="s">
        <v>56</v>
      </c>
      <c r="C13" s="4">
        <v>999</v>
      </c>
      <c r="D13" s="6">
        <f t="shared" si="0"/>
        <v>-442.20000000000005</v>
      </c>
      <c r="E13" s="4">
        <v>-441757.80000000005</v>
      </c>
      <c r="F13" s="4">
        <v>412.25</v>
      </c>
      <c r="G13" s="22">
        <f t="shared" si="1"/>
        <v>411837.75</v>
      </c>
    </row>
    <row r="14" spans="2:7">
      <c r="B14" t="s">
        <v>34</v>
      </c>
      <c r="C14" s="4">
        <v>400</v>
      </c>
      <c r="D14" s="6">
        <f t="shared" si="0"/>
        <v>-478.88749999999999</v>
      </c>
      <c r="E14" s="4">
        <v>-191555</v>
      </c>
      <c r="F14" s="4">
        <v>1028.9000000000001</v>
      </c>
      <c r="G14" s="22">
        <f t="shared" si="1"/>
        <v>411560.00000000006</v>
      </c>
    </row>
    <row r="15" spans="2:7">
      <c r="B15" t="s">
        <v>44</v>
      </c>
      <c r="C15" s="4">
        <v>205</v>
      </c>
      <c r="D15" s="6">
        <f t="shared" si="0"/>
        <v>-975</v>
      </c>
      <c r="E15" s="4">
        <v>-199875</v>
      </c>
      <c r="F15" s="4">
        <v>612.4</v>
      </c>
      <c r="G15" s="22">
        <f t="shared" si="1"/>
        <v>125542</v>
      </c>
    </row>
    <row r="16" spans="2:7">
      <c r="B16" t="s">
        <v>117</v>
      </c>
      <c r="C16" s="4">
        <v>75</v>
      </c>
      <c r="D16" s="6">
        <f t="shared" si="0"/>
        <v>-2749.8</v>
      </c>
      <c r="E16" s="4">
        <v>-206235</v>
      </c>
      <c r="F16" s="4">
        <v>2465.75</v>
      </c>
      <c r="G16" s="22">
        <f t="shared" si="1"/>
        <v>184931.25</v>
      </c>
    </row>
    <row r="17" spans="2:7">
      <c r="B17" t="s">
        <v>24</v>
      </c>
      <c r="C17" s="4">
        <v>27</v>
      </c>
      <c r="D17" s="6">
        <f t="shared" si="0"/>
        <v>-3586.4814814814813</v>
      </c>
      <c r="E17" s="4">
        <v>-96835</v>
      </c>
      <c r="F17" s="4">
        <v>2781.2</v>
      </c>
      <c r="G17" s="22">
        <f t="shared" si="1"/>
        <v>75092.399999999994</v>
      </c>
    </row>
    <row r="18" spans="2:7">
      <c r="B18" t="s">
        <v>106</v>
      </c>
      <c r="C18" s="4">
        <v>2000</v>
      </c>
      <c r="D18" s="6">
        <f t="shared" si="0"/>
        <v>-98.34999999999998</v>
      </c>
      <c r="E18" s="4">
        <v>-196699.99999999997</v>
      </c>
      <c r="F18" s="4">
        <v>92.1</v>
      </c>
      <c r="G18" s="22">
        <f t="shared" si="1"/>
        <v>184200</v>
      </c>
    </row>
    <row r="19" spans="2:7">
      <c r="B19" t="s">
        <v>47</v>
      </c>
      <c r="C19" s="4">
        <v>999</v>
      </c>
      <c r="D19" s="6">
        <f t="shared" si="0"/>
        <v>-217</v>
      </c>
      <c r="E19" s="4">
        <v>-216783</v>
      </c>
      <c r="F19" s="4">
        <v>310.55</v>
      </c>
      <c r="G19" s="22">
        <f t="shared" si="1"/>
        <v>310239.45</v>
      </c>
    </row>
    <row r="20" spans="2:7">
      <c r="B20" t="s">
        <v>14</v>
      </c>
      <c r="C20" s="4">
        <v>6</v>
      </c>
      <c r="D20" s="6">
        <f t="shared" si="0"/>
        <v>-531.02499999999998</v>
      </c>
      <c r="E20" s="4">
        <v>-3186.15</v>
      </c>
      <c r="F20" s="4">
        <v>655.8</v>
      </c>
      <c r="G20" s="22">
        <f t="shared" si="1"/>
        <v>3934.7999999999997</v>
      </c>
    </row>
    <row r="21" spans="2:7">
      <c r="B21" t="s">
        <v>90</v>
      </c>
      <c r="C21" s="4">
        <v>3276</v>
      </c>
      <c r="D21" s="6">
        <f t="shared" si="0"/>
        <v>-296.00853174603174</v>
      </c>
      <c r="E21" s="4">
        <v>-969723.95</v>
      </c>
      <c r="F21" s="4">
        <v>358.25</v>
      </c>
      <c r="G21" s="22">
        <f t="shared" si="1"/>
        <v>1173627</v>
      </c>
    </row>
    <row r="22" spans="2:7">
      <c r="B22" t="s">
        <v>49</v>
      </c>
      <c r="C22" s="4">
        <v>360</v>
      </c>
      <c r="D22" s="6">
        <f t="shared" si="0"/>
        <v>-824.94166666666672</v>
      </c>
      <c r="E22" s="4">
        <v>-296979</v>
      </c>
      <c r="F22" s="4">
        <v>812.6</v>
      </c>
      <c r="G22" s="22">
        <f t="shared" si="1"/>
        <v>292536</v>
      </c>
    </row>
    <row r="23" spans="2:7">
      <c r="B23" t="s">
        <v>38</v>
      </c>
      <c r="C23" s="4">
        <v>555</v>
      </c>
      <c r="D23" s="6">
        <f t="shared" si="0"/>
        <v>-288.96135135135137</v>
      </c>
      <c r="E23" s="4">
        <v>-160373.55000000002</v>
      </c>
      <c r="F23" s="4">
        <v>345.2</v>
      </c>
      <c r="G23" s="22">
        <f t="shared" si="1"/>
        <v>191586</v>
      </c>
    </row>
    <row r="24" spans="2:7">
      <c r="B24" t="s">
        <v>43</v>
      </c>
      <c r="C24" s="4">
        <v>370</v>
      </c>
      <c r="D24" s="6">
        <f t="shared" si="0"/>
        <v>-332.92135135135135</v>
      </c>
      <c r="E24" s="4">
        <v>-123180.9</v>
      </c>
      <c r="F24" s="4">
        <v>505.4</v>
      </c>
      <c r="G24" s="22">
        <f t="shared" si="1"/>
        <v>186998</v>
      </c>
    </row>
    <row r="25" spans="2:7">
      <c r="B25" t="s">
        <v>15</v>
      </c>
      <c r="C25" s="4">
        <v>25</v>
      </c>
      <c r="D25" s="6">
        <f t="shared" si="0"/>
        <v>-3861.7151480000002</v>
      </c>
      <c r="E25" s="4">
        <v>-96542.878700000001</v>
      </c>
      <c r="F25" s="4">
        <v>3482.75</v>
      </c>
      <c r="G25" s="22">
        <f t="shared" si="1"/>
        <v>87068.75</v>
      </c>
    </row>
    <row r="26" spans="2:7">
      <c r="B26" t="s">
        <v>55</v>
      </c>
      <c r="C26" s="4">
        <v>166</v>
      </c>
      <c r="D26" s="6">
        <f t="shared" si="0"/>
        <v>-1219</v>
      </c>
      <c r="E26" s="4">
        <v>-202354</v>
      </c>
      <c r="F26" s="4">
        <v>1562.3</v>
      </c>
      <c r="G26" s="22">
        <f t="shared" si="1"/>
        <v>259341.8</v>
      </c>
    </row>
    <row r="27" spans="2:7">
      <c r="B27" t="s">
        <v>10</v>
      </c>
      <c r="C27" s="4">
        <v>133</v>
      </c>
      <c r="D27" s="6">
        <f t="shared" si="0"/>
        <v>-523.08270676691734</v>
      </c>
      <c r="E27" s="4">
        <v>-69570</v>
      </c>
      <c r="F27" s="4">
        <v>472.9</v>
      </c>
      <c r="G27" s="22">
        <f t="shared" si="1"/>
        <v>62895.7</v>
      </c>
    </row>
    <row r="28" spans="2:7">
      <c r="B28" t="s">
        <v>116</v>
      </c>
      <c r="C28" s="4">
        <v>142</v>
      </c>
      <c r="D28" s="6">
        <f t="shared" si="0"/>
        <v>-701.77359154929582</v>
      </c>
      <c r="E28" s="4">
        <v>-99651.85</v>
      </c>
      <c r="F28" s="4">
        <v>642.1</v>
      </c>
      <c r="G28" s="22">
        <f t="shared" si="1"/>
        <v>91178.2</v>
      </c>
    </row>
    <row r="29" spans="2:7">
      <c r="B29" t="s">
        <v>22</v>
      </c>
      <c r="C29" s="4">
        <v>52</v>
      </c>
      <c r="D29" s="6">
        <f t="shared" si="0"/>
        <v>-1767.1605769230771</v>
      </c>
      <c r="E29" s="4">
        <v>-91892.35</v>
      </c>
      <c r="F29" s="4">
        <v>1582.45</v>
      </c>
      <c r="G29" s="22">
        <f t="shared" si="1"/>
        <v>82287.400000000009</v>
      </c>
    </row>
    <row r="30" spans="2:7">
      <c r="B30" t="s">
        <v>31</v>
      </c>
      <c r="C30" s="4">
        <v>644</v>
      </c>
      <c r="D30" s="6">
        <f t="shared" si="0"/>
        <v>-309.99961180124222</v>
      </c>
      <c r="E30" s="4">
        <v>-199639.75</v>
      </c>
      <c r="F30" s="4">
        <v>438.2</v>
      </c>
      <c r="G30" s="22">
        <f t="shared" si="1"/>
        <v>282200.8</v>
      </c>
    </row>
    <row r="31" spans="2:7">
      <c r="B31" t="s">
        <v>81</v>
      </c>
      <c r="C31" s="4">
        <v>237</v>
      </c>
      <c r="D31" s="6">
        <f t="shared" si="0"/>
        <v>-587.92805907172999</v>
      </c>
      <c r="E31" s="4">
        <v>-139338.95000000001</v>
      </c>
      <c r="F31" s="4">
        <v>812.75</v>
      </c>
      <c r="G31" s="22">
        <f t="shared" si="1"/>
        <v>192621.75</v>
      </c>
    </row>
    <row r="32" spans="2:7">
      <c r="B32" t="s">
        <v>42</v>
      </c>
      <c r="C32" s="4">
        <v>144</v>
      </c>
      <c r="D32" s="6">
        <f t="shared" si="0"/>
        <v>-437.88888888888891</v>
      </c>
      <c r="E32" s="4">
        <v>-63056</v>
      </c>
      <c r="F32" s="4">
        <v>389.6</v>
      </c>
      <c r="G32" s="22">
        <f t="shared" si="1"/>
        <v>56102.400000000001</v>
      </c>
    </row>
    <row r="33" spans="2:7">
      <c r="B33" t="s">
        <v>57</v>
      </c>
      <c r="C33" s="4">
        <v>600</v>
      </c>
      <c r="D33" s="6">
        <f t="shared" si="0"/>
        <v>-821.10349999999994</v>
      </c>
      <c r="E33" s="4">
        <v>-492662.1</v>
      </c>
      <c r="F33" s="4">
        <v>621.4</v>
      </c>
      <c r="G33" s="22">
        <f t="shared" si="1"/>
        <v>372840</v>
      </c>
    </row>
    <row r="34" spans="2:7">
      <c r="B34" t="s">
        <v>37</v>
      </c>
      <c r="C34" s="4">
        <v>35</v>
      </c>
      <c r="D34" s="6">
        <f t="shared" si="0"/>
        <v>-8.1999999999999993</v>
      </c>
      <c r="E34" s="4">
        <v>-287</v>
      </c>
      <c r="F34" s="4">
        <v>72.849999999999994</v>
      </c>
      <c r="G34" s="22">
        <f t="shared" si="1"/>
        <v>2549.75</v>
      </c>
    </row>
    <row r="35" spans="2:7">
      <c r="B35" t="s">
        <v>92</v>
      </c>
      <c r="C35" s="4">
        <v>80</v>
      </c>
      <c r="D35" s="6">
        <f t="shared" si="0"/>
        <v>-508</v>
      </c>
      <c r="E35" s="4">
        <v>-40640</v>
      </c>
      <c r="F35" s="4">
        <v>712.3</v>
      </c>
      <c r="G35" s="22">
        <f t="shared" si="1"/>
        <v>56984</v>
      </c>
    </row>
    <row r="36" spans="2:7">
      <c r="B36" t="s">
        <v>61</v>
      </c>
      <c r="C36" s="4">
        <v>490</v>
      </c>
      <c r="D36" s="6">
        <f t="shared" si="0"/>
        <v>-342.75510204081633</v>
      </c>
      <c r="E36" s="4">
        <v>-167950</v>
      </c>
      <c r="F36" s="4">
        <v>418.55</v>
      </c>
      <c r="G36" s="22">
        <f t="shared" si="1"/>
        <v>205089.5</v>
      </c>
    </row>
    <row r="37" spans="2:7">
      <c r="B37" t="s">
        <v>41</v>
      </c>
      <c r="C37" s="4">
        <v>133</v>
      </c>
      <c r="D37" s="6">
        <f t="shared" si="0"/>
        <v>-3803.9819744360902</v>
      </c>
      <c r="E37" s="4">
        <v>-505929.60259999998</v>
      </c>
      <c r="F37" s="4">
        <v>3642.9</v>
      </c>
      <c r="G37" s="22">
        <f t="shared" si="1"/>
        <v>484505.7</v>
      </c>
    </row>
    <row r="38" spans="2:7">
      <c r="B38" t="s">
        <v>114</v>
      </c>
      <c r="C38" s="4">
        <v>314</v>
      </c>
      <c r="D38" s="6">
        <f t="shared" si="0"/>
        <v>-319</v>
      </c>
      <c r="E38" s="4">
        <v>-100166</v>
      </c>
      <c r="F38" s="4">
        <v>215.4</v>
      </c>
      <c r="G38" s="22">
        <f t="shared" si="1"/>
        <v>67635.600000000006</v>
      </c>
    </row>
    <row r="39" spans="2:7">
      <c r="B39" t="s">
        <v>51</v>
      </c>
      <c r="C39" s="4">
        <v>300</v>
      </c>
      <c r="D39" s="6">
        <f t="shared" si="0"/>
        <v>-1395.5144999999998</v>
      </c>
      <c r="E39" s="4">
        <v>-418654.34999999992</v>
      </c>
      <c r="F39" s="4">
        <v>1245.5999999999999</v>
      </c>
      <c r="G39" s="22">
        <f t="shared" si="1"/>
        <v>373680</v>
      </c>
    </row>
    <row r="40" spans="2:7">
      <c r="B40" t="s">
        <v>102</v>
      </c>
      <c r="C40" s="4">
        <v>124</v>
      </c>
      <c r="D40" s="6">
        <f t="shared" si="0"/>
        <v>-7.5016129032258068</v>
      </c>
      <c r="E40" s="4">
        <v>-930.2</v>
      </c>
      <c r="F40" s="4">
        <v>89.2</v>
      </c>
      <c r="G40" s="22">
        <f t="shared" si="1"/>
        <v>11060.800000000001</v>
      </c>
    </row>
    <row r="41" spans="2:7">
      <c r="B41" t="s">
        <v>16</v>
      </c>
      <c r="C41" s="4">
        <v>875</v>
      </c>
      <c r="D41" s="6">
        <f t="shared" si="0"/>
        <v>-358.25</v>
      </c>
      <c r="E41" s="4">
        <v>-313468.75</v>
      </c>
      <c r="F41" s="4">
        <v>134.75</v>
      </c>
      <c r="G41" s="22">
        <f t="shared" si="1"/>
        <v>117906.25</v>
      </c>
    </row>
    <row r="42" spans="2:7">
      <c r="B42" t="s">
        <v>13</v>
      </c>
      <c r="C42" s="4">
        <v>209</v>
      </c>
      <c r="D42" s="6">
        <f t="shared" si="0"/>
        <v>-1049.3607655502394</v>
      </c>
      <c r="E42" s="4">
        <v>-219316.40000000002</v>
      </c>
      <c r="F42" s="4">
        <v>5842.1</v>
      </c>
      <c r="G42" s="22">
        <f t="shared" si="1"/>
        <v>1220998.9000000001</v>
      </c>
    </row>
    <row r="43" spans="2:7">
      <c r="B43" t="s">
        <v>77</v>
      </c>
      <c r="C43" s="4">
        <v>365</v>
      </c>
      <c r="D43" s="6">
        <f t="shared" si="0"/>
        <v>-233.7602739726027</v>
      </c>
      <c r="E43" s="4">
        <v>-85322.499999999985</v>
      </c>
      <c r="F43" s="4">
        <v>512.79999999999995</v>
      </c>
      <c r="G43" s="22">
        <f t="shared" si="1"/>
        <v>187171.99999999997</v>
      </c>
    </row>
    <row r="44" spans="2:7">
      <c r="B44" t="s">
        <v>30</v>
      </c>
      <c r="C44" s="4">
        <v>1359</v>
      </c>
      <c r="D44" s="6">
        <f t="shared" si="0"/>
        <v>-140.77880794701986</v>
      </c>
      <c r="E44" s="4">
        <v>-191318.39999999999</v>
      </c>
      <c r="F44" s="4">
        <v>268.39999999999998</v>
      </c>
      <c r="G44" s="22">
        <f t="shared" si="1"/>
        <v>364755.6</v>
      </c>
    </row>
    <row r="45" spans="2:7">
      <c r="B45" t="s">
        <v>103</v>
      </c>
      <c r="C45" s="4">
        <v>457</v>
      </c>
      <c r="D45" s="6">
        <f t="shared" si="0"/>
        <v>-86</v>
      </c>
      <c r="E45" s="4">
        <v>-39302</v>
      </c>
      <c r="F45" s="4">
        <v>58.75</v>
      </c>
      <c r="G45" s="22">
        <f t="shared" si="1"/>
        <v>26848.75</v>
      </c>
    </row>
    <row r="46" spans="2:7">
      <c r="B46" t="s">
        <v>87</v>
      </c>
      <c r="C46" s="4">
        <v>1735</v>
      </c>
      <c r="D46" s="6">
        <f t="shared" si="0"/>
        <v>-46.557752161383291</v>
      </c>
      <c r="E46" s="4">
        <v>-80777.700000000012</v>
      </c>
      <c r="F46" s="4">
        <v>102.3</v>
      </c>
      <c r="G46" s="22">
        <f t="shared" si="1"/>
        <v>177490.5</v>
      </c>
    </row>
    <row r="47" spans="2:7">
      <c r="B47" t="s">
        <v>50</v>
      </c>
      <c r="C47" s="4">
        <v>1555</v>
      </c>
      <c r="D47" s="6">
        <f t="shared" si="0"/>
        <v>-107</v>
      </c>
      <c r="E47" s="4">
        <v>-166385</v>
      </c>
      <c r="F47" s="4">
        <v>118.6</v>
      </c>
      <c r="G47" s="22">
        <f t="shared" si="1"/>
        <v>184423</v>
      </c>
    </row>
    <row r="48" spans="2:7">
      <c r="B48" t="s">
        <v>7</v>
      </c>
      <c r="C48" s="4">
        <v>158</v>
      </c>
      <c r="D48" s="6">
        <f t="shared" si="0"/>
        <v>-800.62879746835449</v>
      </c>
      <c r="E48" s="4">
        <v>-126499.35</v>
      </c>
      <c r="F48" s="4">
        <v>512.75</v>
      </c>
      <c r="G48" s="22">
        <f t="shared" si="1"/>
        <v>81014.5</v>
      </c>
    </row>
    <row r="49" spans="2:7">
      <c r="B49" t="s">
        <v>17</v>
      </c>
      <c r="C49" s="4">
        <v>600</v>
      </c>
      <c r="D49" s="6">
        <f t="shared" si="0"/>
        <v>-417</v>
      </c>
      <c r="E49" s="4">
        <v>-250200</v>
      </c>
      <c r="F49" s="4">
        <v>498.2</v>
      </c>
      <c r="G49" s="22">
        <f t="shared" si="1"/>
        <v>298920</v>
      </c>
    </row>
    <row r="50" spans="2:7">
      <c r="B50" t="s">
        <v>25</v>
      </c>
      <c r="C50" s="4">
        <v>760</v>
      </c>
      <c r="D50" s="6">
        <f t="shared" si="0"/>
        <v>-262.99434210526317</v>
      </c>
      <c r="E50" s="4">
        <v>-199875.7</v>
      </c>
      <c r="F50" s="4">
        <v>142.5</v>
      </c>
      <c r="G50" s="22">
        <f t="shared" si="1"/>
        <v>108300</v>
      </c>
    </row>
    <row r="51" spans="2:7">
      <c r="B51" t="s">
        <v>36</v>
      </c>
      <c r="C51" s="4">
        <v>14232</v>
      </c>
      <c r="D51" s="6">
        <f t="shared" si="0"/>
        <v>-20.525671725688589</v>
      </c>
      <c r="E51" s="4">
        <v>-292121.36</v>
      </c>
      <c r="F51" s="4">
        <v>38.6</v>
      </c>
      <c r="G51" s="22">
        <f t="shared" si="1"/>
        <v>549355.20000000007</v>
      </c>
    </row>
    <row r="52" spans="2:7">
      <c r="B52" t="s">
        <v>115</v>
      </c>
      <c r="C52" s="4">
        <v>540</v>
      </c>
      <c r="D52" s="6">
        <f t="shared" si="0"/>
        <v>-185.94999999999996</v>
      </c>
      <c r="E52" s="4">
        <v>-100412.99999999999</v>
      </c>
      <c r="F52" s="4">
        <v>182.4</v>
      </c>
      <c r="G52" s="22">
        <f t="shared" si="1"/>
        <v>98496</v>
      </c>
    </row>
    <row r="53" spans="2:7">
      <c r="B53" t="s">
        <v>100</v>
      </c>
      <c r="C53" s="4">
        <v>1624</v>
      </c>
      <c r="D53" s="6">
        <f t="shared" si="0"/>
        <v>-46.295751231527099</v>
      </c>
      <c r="E53" s="4">
        <v>-75184.3</v>
      </c>
      <c r="F53" s="4">
        <v>76.25</v>
      </c>
      <c r="G53" s="22">
        <f t="shared" si="1"/>
        <v>123830</v>
      </c>
    </row>
    <row r="54" spans="2:7">
      <c r="B54" t="s">
        <v>84</v>
      </c>
      <c r="C54" s="4">
        <v>2169</v>
      </c>
      <c r="D54" s="6">
        <f t="shared" si="0"/>
        <v>-178.10373443983403</v>
      </c>
      <c r="E54" s="4">
        <v>-386307</v>
      </c>
      <c r="F54" s="4">
        <v>264.8</v>
      </c>
      <c r="G54" s="22">
        <f t="shared" si="1"/>
        <v>574351.20000000007</v>
      </c>
    </row>
    <row r="55" spans="2:7">
      <c r="B55" t="s">
        <v>18</v>
      </c>
      <c r="C55" s="4">
        <v>600</v>
      </c>
      <c r="D55" s="6">
        <f t="shared" si="0"/>
        <v>-357</v>
      </c>
      <c r="E55" s="4">
        <v>-214200</v>
      </c>
      <c r="F55" s="4">
        <v>524.6</v>
      </c>
      <c r="G55" s="22">
        <f t="shared" si="1"/>
        <v>314760</v>
      </c>
    </row>
    <row r="56" spans="2:7">
      <c r="B56" t="s">
        <v>33</v>
      </c>
      <c r="C56" s="4">
        <v>12500</v>
      </c>
      <c r="D56" s="6">
        <f t="shared" si="0"/>
        <v>-7.9925112000000009</v>
      </c>
      <c r="E56" s="4">
        <v>-99906.390000000014</v>
      </c>
      <c r="F56" s="4">
        <v>9.15</v>
      </c>
      <c r="G56" s="22">
        <f t="shared" si="1"/>
        <v>114375</v>
      </c>
    </row>
    <row r="57" spans="2:7">
      <c r="B57" t="s">
        <v>104</v>
      </c>
      <c r="C57" s="4">
        <v>638</v>
      </c>
      <c r="D57" s="6">
        <f t="shared" si="0"/>
        <v>-93.75</v>
      </c>
      <c r="E57" s="4">
        <v>-59812.5</v>
      </c>
      <c r="F57" s="4">
        <v>132.4</v>
      </c>
      <c r="G57" s="22">
        <f t="shared" si="1"/>
        <v>84471.2</v>
      </c>
    </row>
    <row r="58" spans="2:7">
      <c r="B58" t="s">
        <v>118</v>
      </c>
      <c r="C58" s="4">
        <v>93</v>
      </c>
      <c r="D58" s="6">
        <f t="shared" si="0"/>
        <v>-1065</v>
      </c>
      <c r="E58" s="4">
        <v>-99045</v>
      </c>
      <c r="F58" s="4">
        <v>1025.75</v>
      </c>
      <c r="G58" s="22">
        <f t="shared" si="1"/>
        <v>95394.75</v>
      </c>
    </row>
    <row r="59" spans="2:7">
      <c r="B59" t="s">
        <v>112</v>
      </c>
      <c r="C59" s="4">
        <v>303</v>
      </c>
      <c r="D59" s="6">
        <f t="shared" si="0"/>
        <v>-1641.1000000000001</v>
      </c>
      <c r="E59" s="4">
        <v>-497253.30000000005</v>
      </c>
      <c r="F59" s="4">
        <v>1612.8</v>
      </c>
      <c r="G59" s="22">
        <f t="shared" si="1"/>
        <v>488678.39999999997</v>
      </c>
    </row>
    <row r="60" spans="2:7">
      <c r="B60" t="s">
        <v>29</v>
      </c>
      <c r="C60" s="4">
        <v>892</v>
      </c>
      <c r="D60" s="6">
        <f t="shared" si="0"/>
        <v>-224</v>
      </c>
      <c r="E60" s="4">
        <v>-199808</v>
      </c>
      <c r="F60" s="4">
        <v>78.400000000000006</v>
      </c>
      <c r="G60" s="22">
        <f t="shared" si="1"/>
        <v>69932.800000000003</v>
      </c>
    </row>
    <row r="61" spans="2:7">
      <c r="B61" t="s">
        <v>85</v>
      </c>
      <c r="C61" s="4">
        <v>275</v>
      </c>
      <c r="D61" s="6">
        <f t="shared" si="0"/>
        <v>-94.5</v>
      </c>
      <c r="E61" s="4">
        <v>-25987.5</v>
      </c>
      <c r="F61" s="4">
        <v>198.6</v>
      </c>
      <c r="G61" s="22">
        <f t="shared" si="1"/>
        <v>54615</v>
      </c>
    </row>
    <row r="62" spans="2:7">
      <c r="B62" t="s">
        <v>45</v>
      </c>
      <c r="C62" s="4">
        <v>650</v>
      </c>
      <c r="D62" s="6">
        <f t="shared" si="0"/>
        <v>-1273.9615384615386</v>
      </c>
      <c r="E62" s="4">
        <v>-828075</v>
      </c>
      <c r="F62" s="4">
        <v>1082.5</v>
      </c>
      <c r="G62" s="22">
        <f t="shared" si="1"/>
        <v>703625</v>
      </c>
    </row>
    <row r="63" spans="2:7">
      <c r="B63" t="s">
        <v>82</v>
      </c>
      <c r="C63" s="4">
        <v>3000</v>
      </c>
      <c r="D63" s="6">
        <f t="shared" si="0"/>
        <v>-17.149999999999999</v>
      </c>
      <c r="E63" s="4">
        <v>-51449.999999999993</v>
      </c>
      <c r="F63" s="4">
        <v>28.75</v>
      </c>
      <c r="G63" s="22">
        <f t="shared" si="1"/>
        <v>86250</v>
      </c>
    </row>
    <row r="64" spans="2:7">
      <c r="B64" t="s">
        <v>83</v>
      </c>
      <c r="C64" s="4">
        <v>1765</v>
      </c>
      <c r="D64" s="6">
        <f t="shared" si="0"/>
        <v>-125.92747875354108</v>
      </c>
      <c r="E64" s="4">
        <v>-222262</v>
      </c>
      <c r="F64" s="4">
        <v>158.19999999999999</v>
      </c>
      <c r="G64" s="22">
        <f t="shared" si="1"/>
        <v>279223</v>
      </c>
    </row>
    <row r="65" spans="2:7">
      <c r="B65" t="s">
        <v>54</v>
      </c>
      <c r="C65" s="4">
        <v>637</v>
      </c>
      <c r="D65" s="6">
        <f t="shared" si="0"/>
        <v>-848.88610675039274</v>
      </c>
      <c r="E65" s="4">
        <v>-540740.45000000019</v>
      </c>
      <c r="F65" s="4">
        <v>1125.4000000000001</v>
      </c>
      <c r="G65" s="22">
        <f t="shared" si="1"/>
        <v>716879.8</v>
      </c>
    </row>
    <row r="66" spans="2:7">
      <c r="B66" t="s">
        <v>63</v>
      </c>
      <c r="C66" s="4">
        <v>800</v>
      </c>
      <c r="D66" s="6">
        <f t="shared" si="0"/>
        <v>-295</v>
      </c>
      <c r="E66" s="4">
        <v>-236000</v>
      </c>
      <c r="F66" s="4">
        <v>42.6</v>
      </c>
      <c r="G66" s="22">
        <f t="shared" si="1"/>
        <v>34080</v>
      </c>
    </row>
    <row r="67" spans="2:7">
      <c r="B67" t="s">
        <v>113</v>
      </c>
      <c r="C67" s="4">
        <v>2500</v>
      </c>
      <c r="D67" s="6">
        <f t="shared" si="0"/>
        <v>-38.301323999999994</v>
      </c>
      <c r="E67" s="4">
        <v>-95753.309999999983</v>
      </c>
      <c r="F67" s="4">
        <v>58.9</v>
      </c>
      <c r="G67" s="22">
        <f t="shared" si="1"/>
        <v>147250</v>
      </c>
    </row>
    <row r="68" spans="2:7">
      <c r="B68" t="s">
        <v>62</v>
      </c>
      <c r="C68" s="4">
        <v>15000</v>
      </c>
      <c r="D68" s="6">
        <f t="shared" ref="D68:D70" si="2">E68/C68</f>
        <v>-10.3</v>
      </c>
      <c r="E68" s="4">
        <v>-154500</v>
      </c>
      <c r="F68" s="4">
        <v>66.2</v>
      </c>
      <c r="G68" s="22">
        <f t="shared" ref="G68:G70" si="3">F68*C68</f>
        <v>993000</v>
      </c>
    </row>
    <row r="69" spans="2:7">
      <c r="B69" t="s">
        <v>60</v>
      </c>
      <c r="C69" s="4">
        <v>666</v>
      </c>
      <c r="D69" s="6">
        <f t="shared" si="2"/>
        <v>-310</v>
      </c>
      <c r="E69" s="4">
        <v>-206460</v>
      </c>
      <c r="F69" s="4">
        <v>382.75</v>
      </c>
      <c r="G69" s="22">
        <f t="shared" si="3"/>
        <v>254911.5</v>
      </c>
    </row>
    <row r="70" spans="2:7">
      <c r="B70" t="s">
        <v>46</v>
      </c>
      <c r="C70" s="4">
        <v>25400</v>
      </c>
      <c r="D70" s="6">
        <f t="shared" si="2"/>
        <v>-24.419899999999998</v>
      </c>
      <c r="E70" s="4">
        <v>-620265.46</v>
      </c>
      <c r="F70" s="4">
        <v>27.4</v>
      </c>
      <c r="G70" s="22">
        <f t="shared" si="3"/>
        <v>695960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0B870F-BCA4-4E2F-AE21-141809239A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Result&gt;</vt:lpstr>
      <vt:lpstr>Final_data</vt:lpstr>
      <vt:lpstr>Documentation&gt;</vt:lpstr>
      <vt:lpstr>Section 1</vt:lpstr>
      <vt:lpstr>DATA&gt;</vt:lpstr>
      <vt:lpstr>Merged_Data</vt:lpstr>
      <vt:lpstr>Pivot_temp</vt:lpstr>
      <vt:lpstr>Temp_Data</vt:lpstr>
      <vt:lpstr>Open_positions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chaudhary</dc:creator>
  <cp:lastModifiedBy>Anshul chaudhary</cp:lastModifiedBy>
  <dcterms:created xsi:type="dcterms:W3CDTF">2026-04-15T07:51:58Z</dcterms:created>
  <dcterms:modified xsi:type="dcterms:W3CDTF">2026-04-21T18:20:48Z</dcterms:modified>
</cp:coreProperties>
</file>